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iscodesa-my.sharepoint.com/personal/ruben_freire_centrohub_co/Documents/Escritorio/Proyectos/CENTROS COMERCIALES/sandbox/Maestros/"/>
    </mc:Choice>
  </mc:AlternateContent>
  <xr:revisionPtr revIDLastSave="403" documentId="8_{D087D7BE-FB75-4375-8171-91F19B968B32}" xr6:coauthVersionLast="47" xr6:coauthVersionMax="47" xr10:uidLastSave="{07E4291D-AD43-458D-8311-E49429967DD9}"/>
  <bookViews>
    <workbookView xWindow="20" yWindow="20" windowWidth="19180" windowHeight="11260" xr2:uid="{9133DEFF-FE9C-44A4-81D1-0491C288180C}"/>
  </bookViews>
  <sheets>
    <sheet name="Hoja1" sheetId="1" r:id="rId1"/>
  </sheets>
  <definedNames>
    <definedName name="_xlnm._FilterDatabase" localSheetId="0" hidden="1">Hoja1!$A$1:$N$205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8" i="1" l="1"/>
  <c r="H118" i="1" s="1"/>
  <c r="G3" i="1"/>
  <c r="H3" i="1" s="1"/>
  <c r="G167" i="1"/>
  <c r="H167" i="1" s="1"/>
  <c r="M70" i="1"/>
  <c r="M91" i="1"/>
  <c r="M99" i="1"/>
  <c r="M109" i="1"/>
  <c r="M119" i="1"/>
  <c r="M197" i="1"/>
  <c r="M9" i="1"/>
  <c r="M10" i="1"/>
  <c r="M15" i="1"/>
  <c r="M22" i="1"/>
  <c r="M27" i="1"/>
  <c r="M31" i="1"/>
  <c r="M60" i="1"/>
  <c r="J60" i="1"/>
  <c r="J70" i="1"/>
  <c r="J91" i="1"/>
  <c r="J99" i="1"/>
  <c r="J109" i="1"/>
  <c r="J119" i="1"/>
  <c r="J197" i="1"/>
  <c r="J9" i="1"/>
  <c r="J10" i="1"/>
  <c r="J15" i="1"/>
  <c r="J22" i="1"/>
  <c r="J27" i="1"/>
  <c r="J31" i="1"/>
  <c r="G66" i="1"/>
  <c r="H66" i="1" s="1"/>
  <c r="J66" i="1" s="1"/>
  <c r="G199" i="1"/>
  <c r="H199" i="1" s="1"/>
  <c r="J199" i="1" s="1"/>
  <c r="G149" i="1"/>
  <c r="H149" i="1" s="1"/>
  <c r="M3" i="1" l="1"/>
  <c r="J3" i="1"/>
  <c r="M167" i="1"/>
  <c r="J167" i="1"/>
  <c r="J149" i="1"/>
  <c r="M149" i="1"/>
  <c r="M199" i="1"/>
  <c r="M66" i="1"/>
  <c r="G4" i="1"/>
  <c r="H4" i="1" s="1"/>
  <c r="G5" i="1"/>
  <c r="H5" i="1" s="1"/>
  <c r="G6" i="1"/>
  <c r="H6" i="1" s="1"/>
  <c r="G7" i="1"/>
  <c r="H7" i="1" s="1"/>
  <c r="G11" i="1"/>
  <c r="H11" i="1" s="1"/>
  <c r="G9" i="1"/>
  <c r="G8" i="1"/>
  <c r="H8" i="1" s="1"/>
  <c r="G10" i="1"/>
  <c r="G12" i="1"/>
  <c r="H12" i="1" s="1"/>
  <c r="G13" i="1"/>
  <c r="H13" i="1" s="1"/>
  <c r="G14" i="1"/>
  <c r="H14" i="1" s="1"/>
  <c r="G15" i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G23" i="1"/>
  <c r="H23" i="1" s="1"/>
  <c r="G24" i="1"/>
  <c r="H24" i="1" s="1"/>
  <c r="G25" i="1"/>
  <c r="H25" i="1" s="1"/>
  <c r="G26" i="1"/>
  <c r="H26" i="1" s="1"/>
  <c r="G27" i="1"/>
  <c r="G28" i="1"/>
  <c r="H28" i="1" s="1"/>
  <c r="G29" i="1"/>
  <c r="H29" i="1" s="1"/>
  <c r="G30" i="1"/>
  <c r="H30" i="1" s="1"/>
  <c r="G31" i="1"/>
  <c r="G32" i="1"/>
  <c r="H32" i="1" s="1"/>
  <c r="G33" i="1"/>
  <c r="H33" i="1" s="1"/>
  <c r="G34" i="1"/>
  <c r="H34" i="1" s="1"/>
  <c r="G35" i="1"/>
  <c r="H35" i="1" s="1"/>
  <c r="G36" i="1"/>
  <c r="H36" i="1" s="1"/>
  <c r="G38" i="1"/>
  <c r="H38" i="1" s="1"/>
  <c r="G37" i="1"/>
  <c r="H37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G61" i="1"/>
  <c r="H61" i="1" s="1"/>
  <c r="G62" i="1"/>
  <c r="H62" i="1" s="1"/>
  <c r="G63" i="1"/>
  <c r="H63" i="1" s="1"/>
  <c r="G64" i="1"/>
  <c r="H64" i="1" s="1"/>
  <c r="G65" i="1"/>
  <c r="H65" i="1" s="1"/>
  <c r="G67" i="1"/>
  <c r="H67" i="1" s="1"/>
  <c r="G68" i="1"/>
  <c r="H68" i="1" s="1"/>
  <c r="G69" i="1"/>
  <c r="H69" i="1" s="1"/>
  <c r="G70" i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9" i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G198" i="1"/>
  <c r="H198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" i="1"/>
  <c r="H2" i="1" s="1"/>
  <c r="M2" i="1" s="1"/>
  <c r="J160" i="1" l="1"/>
  <c r="M160" i="1"/>
  <c r="J111" i="1"/>
  <c r="M111" i="1"/>
  <c r="J30" i="1"/>
  <c r="M30" i="1"/>
  <c r="J159" i="1"/>
  <c r="M159" i="1"/>
  <c r="J110" i="1"/>
  <c r="M110" i="1"/>
  <c r="J45" i="1"/>
  <c r="M45" i="1"/>
  <c r="J191" i="1"/>
  <c r="M191" i="1"/>
  <c r="J126" i="1"/>
  <c r="M126" i="1"/>
  <c r="J190" i="1"/>
  <c r="M190" i="1"/>
  <c r="J157" i="1"/>
  <c r="M157" i="1"/>
  <c r="J124" i="1"/>
  <c r="M124" i="1"/>
  <c r="J42" i="1"/>
  <c r="M42" i="1"/>
  <c r="J205" i="1"/>
  <c r="M205" i="1"/>
  <c r="J139" i="1"/>
  <c r="M139" i="1"/>
  <c r="J57" i="1"/>
  <c r="M57" i="1"/>
  <c r="J54" i="1"/>
  <c r="M54" i="1"/>
  <c r="J193" i="1"/>
  <c r="M193" i="1"/>
  <c r="J128" i="1"/>
  <c r="M128" i="1"/>
  <c r="J62" i="1"/>
  <c r="M62" i="1"/>
  <c r="J14" i="1"/>
  <c r="M14" i="1"/>
  <c r="J143" i="1"/>
  <c r="M143" i="1"/>
  <c r="J94" i="1"/>
  <c r="M94" i="1"/>
  <c r="J13" i="1"/>
  <c r="M13" i="1"/>
  <c r="J142" i="1"/>
  <c r="M142" i="1"/>
  <c r="J93" i="1"/>
  <c r="M93" i="1"/>
  <c r="J28" i="1"/>
  <c r="M28" i="1"/>
  <c r="J158" i="1"/>
  <c r="M158" i="1"/>
  <c r="J108" i="1"/>
  <c r="M108" i="1"/>
  <c r="J76" i="1"/>
  <c r="M76" i="1"/>
  <c r="J26" i="1"/>
  <c r="M26" i="1"/>
  <c r="J172" i="1"/>
  <c r="M172" i="1"/>
  <c r="J106" i="1"/>
  <c r="M106" i="1"/>
  <c r="J56" i="1"/>
  <c r="M56" i="1"/>
  <c r="J37" i="1"/>
  <c r="M37" i="1"/>
  <c r="J6" i="1"/>
  <c r="M6" i="1"/>
  <c r="J201" i="1"/>
  <c r="M201" i="1"/>
  <c r="J184" i="1"/>
  <c r="M184" i="1"/>
  <c r="J168" i="1"/>
  <c r="M168" i="1"/>
  <c r="J152" i="1"/>
  <c r="M152" i="1"/>
  <c r="J135" i="1"/>
  <c r="M135" i="1"/>
  <c r="J102" i="1"/>
  <c r="M102" i="1"/>
  <c r="J86" i="1"/>
  <c r="M86" i="1"/>
  <c r="J53" i="1"/>
  <c r="M53" i="1"/>
  <c r="J38" i="1"/>
  <c r="M38" i="1"/>
  <c r="J21" i="1"/>
  <c r="M21" i="1"/>
  <c r="J5" i="1"/>
  <c r="M5" i="1"/>
  <c r="J25" i="1"/>
  <c r="M25" i="1"/>
  <c r="J187" i="1"/>
  <c r="M187" i="1"/>
  <c r="J155" i="1"/>
  <c r="M155" i="1"/>
  <c r="J105" i="1"/>
  <c r="M105" i="1"/>
  <c r="J73" i="1"/>
  <c r="M73" i="1"/>
  <c r="J11" i="1"/>
  <c r="M11" i="1"/>
  <c r="J186" i="1"/>
  <c r="M186" i="1"/>
  <c r="J154" i="1"/>
  <c r="M154" i="1"/>
  <c r="J104" i="1"/>
  <c r="M104" i="1"/>
  <c r="J72" i="1"/>
  <c r="M72" i="1"/>
  <c r="J55" i="1"/>
  <c r="M55" i="1"/>
  <c r="J7" i="1"/>
  <c r="M7" i="1"/>
  <c r="J169" i="1"/>
  <c r="M169" i="1"/>
  <c r="J136" i="1"/>
  <c r="M136" i="1"/>
  <c r="J87" i="1"/>
  <c r="M87" i="1"/>
  <c r="J200" i="1"/>
  <c r="M200" i="1"/>
  <c r="J151" i="1"/>
  <c r="M151" i="1"/>
  <c r="J117" i="1"/>
  <c r="M117" i="1"/>
  <c r="J69" i="1"/>
  <c r="M69" i="1"/>
  <c r="J36" i="1"/>
  <c r="M36" i="1"/>
  <c r="J198" i="1"/>
  <c r="M198" i="1"/>
  <c r="J165" i="1"/>
  <c r="M165" i="1"/>
  <c r="J133" i="1"/>
  <c r="M133" i="1"/>
  <c r="J84" i="1"/>
  <c r="M84" i="1"/>
  <c r="J51" i="1"/>
  <c r="M51" i="1"/>
  <c r="J19" i="1"/>
  <c r="M19" i="1"/>
  <c r="J164" i="1"/>
  <c r="M164" i="1"/>
  <c r="J132" i="1"/>
  <c r="M132" i="1"/>
  <c r="J83" i="1"/>
  <c r="M83" i="1"/>
  <c r="J50" i="1"/>
  <c r="M50" i="1"/>
  <c r="J196" i="1"/>
  <c r="M196" i="1"/>
  <c r="J180" i="1"/>
  <c r="M180" i="1"/>
  <c r="J163" i="1"/>
  <c r="M163" i="1"/>
  <c r="J147" i="1"/>
  <c r="M147" i="1"/>
  <c r="J131" i="1"/>
  <c r="M131" i="1"/>
  <c r="J114" i="1"/>
  <c r="M114" i="1"/>
  <c r="J98" i="1"/>
  <c r="M98" i="1"/>
  <c r="J82" i="1"/>
  <c r="M82" i="1"/>
  <c r="J65" i="1"/>
  <c r="M65" i="1"/>
  <c r="J49" i="1"/>
  <c r="M49" i="1"/>
  <c r="J33" i="1"/>
  <c r="M33" i="1"/>
  <c r="J17" i="1"/>
  <c r="M17" i="1"/>
  <c r="J95" i="1"/>
  <c r="M95" i="1"/>
  <c r="J192" i="1"/>
  <c r="M192" i="1"/>
  <c r="J61" i="1"/>
  <c r="M61" i="1"/>
  <c r="J44" i="1"/>
  <c r="M44" i="1"/>
  <c r="J141" i="1"/>
  <c r="M141" i="1"/>
  <c r="J43" i="1"/>
  <c r="M43" i="1"/>
  <c r="J173" i="1"/>
  <c r="M173" i="1"/>
  <c r="J75" i="1"/>
  <c r="M75" i="1"/>
  <c r="J188" i="1"/>
  <c r="M188" i="1"/>
  <c r="J90" i="1"/>
  <c r="M90" i="1"/>
  <c r="J138" i="1"/>
  <c r="M138" i="1"/>
  <c r="J40" i="1"/>
  <c r="M40" i="1"/>
  <c r="J137" i="1"/>
  <c r="M137" i="1"/>
  <c r="J39" i="1"/>
  <c r="M39" i="1"/>
  <c r="J185" i="1"/>
  <c r="M185" i="1"/>
  <c r="J103" i="1"/>
  <c r="M103" i="1"/>
  <c r="J166" i="1"/>
  <c r="M166" i="1"/>
  <c r="J85" i="1"/>
  <c r="M85" i="1"/>
  <c r="J4" i="1"/>
  <c r="M4" i="1"/>
  <c r="J100" i="1"/>
  <c r="M100" i="1"/>
  <c r="J115" i="1"/>
  <c r="M115" i="1"/>
  <c r="J34" i="1"/>
  <c r="M34" i="1"/>
  <c r="J162" i="1"/>
  <c r="M162" i="1"/>
  <c r="J130" i="1"/>
  <c r="M130" i="1"/>
  <c r="J113" i="1"/>
  <c r="M113" i="1"/>
  <c r="J97" i="1"/>
  <c r="M97" i="1"/>
  <c r="J81" i="1"/>
  <c r="M81" i="1"/>
  <c r="J64" i="1"/>
  <c r="M64" i="1"/>
  <c r="J48" i="1"/>
  <c r="M48" i="1"/>
  <c r="J32" i="1"/>
  <c r="M32" i="1"/>
  <c r="J16" i="1"/>
  <c r="M16" i="1"/>
  <c r="J177" i="1"/>
  <c r="M177" i="1"/>
  <c r="J144" i="1"/>
  <c r="M144" i="1"/>
  <c r="J79" i="1"/>
  <c r="M79" i="1"/>
  <c r="J46" i="1"/>
  <c r="M46" i="1"/>
  <c r="J176" i="1"/>
  <c r="M176" i="1"/>
  <c r="J127" i="1"/>
  <c r="M127" i="1"/>
  <c r="J78" i="1"/>
  <c r="M78" i="1"/>
  <c r="J29" i="1"/>
  <c r="M29" i="1"/>
  <c r="J175" i="1"/>
  <c r="M175" i="1"/>
  <c r="J77" i="1"/>
  <c r="M77" i="1"/>
  <c r="J12" i="1"/>
  <c r="M12" i="1"/>
  <c r="J174" i="1"/>
  <c r="M174" i="1"/>
  <c r="J125" i="1"/>
  <c r="M125" i="1"/>
  <c r="J92" i="1"/>
  <c r="M92" i="1"/>
  <c r="J59" i="1"/>
  <c r="M59" i="1"/>
  <c r="J189" i="1"/>
  <c r="M189" i="1"/>
  <c r="J140" i="1"/>
  <c r="M140" i="1"/>
  <c r="J107" i="1"/>
  <c r="M107" i="1"/>
  <c r="J58" i="1"/>
  <c r="M58" i="1"/>
  <c r="J8" i="1"/>
  <c r="M8" i="1"/>
  <c r="J156" i="1"/>
  <c r="M156" i="1"/>
  <c r="J123" i="1"/>
  <c r="M123" i="1"/>
  <c r="J74" i="1"/>
  <c r="M74" i="1"/>
  <c r="J41" i="1"/>
  <c r="M41" i="1"/>
  <c r="J204" i="1"/>
  <c r="M204" i="1"/>
  <c r="J171" i="1"/>
  <c r="M171" i="1"/>
  <c r="J122" i="1"/>
  <c r="M122" i="1"/>
  <c r="J89" i="1"/>
  <c r="M89" i="1"/>
  <c r="J24" i="1"/>
  <c r="M24" i="1"/>
  <c r="J203" i="1"/>
  <c r="M203" i="1"/>
  <c r="J170" i="1"/>
  <c r="M170" i="1"/>
  <c r="J121" i="1"/>
  <c r="M121" i="1"/>
  <c r="J88" i="1"/>
  <c r="M88" i="1"/>
  <c r="J23" i="1"/>
  <c r="M23" i="1"/>
  <c r="J202" i="1"/>
  <c r="M202" i="1"/>
  <c r="J153" i="1"/>
  <c r="M153" i="1"/>
  <c r="J120" i="1"/>
  <c r="M120" i="1"/>
  <c r="J71" i="1"/>
  <c r="M71" i="1"/>
  <c r="J183" i="1"/>
  <c r="M183" i="1"/>
  <c r="J134" i="1"/>
  <c r="M134" i="1"/>
  <c r="J101" i="1"/>
  <c r="M101" i="1"/>
  <c r="J52" i="1"/>
  <c r="M52" i="1"/>
  <c r="J20" i="1"/>
  <c r="M20" i="1"/>
  <c r="J182" i="1"/>
  <c r="M182" i="1"/>
  <c r="J150" i="1"/>
  <c r="M150" i="1"/>
  <c r="J116" i="1"/>
  <c r="M116" i="1"/>
  <c r="J68" i="1"/>
  <c r="M68" i="1"/>
  <c r="J35" i="1"/>
  <c r="M35" i="1"/>
  <c r="J181" i="1"/>
  <c r="M181" i="1"/>
  <c r="J148" i="1"/>
  <c r="M148" i="1"/>
  <c r="J67" i="1"/>
  <c r="M67" i="1"/>
  <c r="J18" i="1"/>
  <c r="M18" i="1"/>
  <c r="J195" i="1"/>
  <c r="M195" i="1"/>
  <c r="J179" i="1"/>
  <c r="M179" i="1"/>
  <c r="J146" i="1"/>
  <c r="M146" i="1"/>
  <c r="J194" i="1"/>
  <c r="M194" i="1"/>
  <c r="J178" i="1"/>
  <c r="M178" i="1"/>
  <c r="J161" i="1"/>
  <c r="M161" i="1"/>
  <c r="J145" i="1"/>
  <c r="M145" i="1"/>
  <c r="J129" i="1"/>
  <c r="M129" i="1"/>
  <c r="J112" i="1"/>
  <c r="M112" i="1"/>
  <c r="J96" i="1"/>
  <c r="M96" i="1"/>
  <c r="J80" i="1"/>
  <c r="M80" i="1"/>
  <c r="J63" i="1"/>
  <c r="M63" i="1"/>
  <c r="J47" i="1"/>
  <c r="M47" i="1"/>
  <c r="J2" i="1"/>
</calcChain>
</file>

<file path=xl/sharedStrings.xml><?xml version="1.0" encoding="utf-8"?>
<sst xmlns="http://schemas.openxmlformats.org/spreadsheetml/2006/main" count="733" uniqueCount="299">
  <si>
    <t>nombre_establecimiento</t>
  </si>
  <si>
    <t xml:space="preserve">ACIUM </t>
  </si>
  <si>
    <t>ADIDAS</t>
  </si>
  <si>
    <t>ADOLFO DOMINGUEZ</t>
  </si>
  <si>
    <t>ALAJA BY CIRE</t>
  </si>
  <si>
    <t>ALDO</t>
  </si>
  <si>
    <t>ALMACENES JAPON</t>
  </si>
  <si>
    <t>AMERICANINO</t>
  </si>
  <si>
    <t>AMERICAN DELI</t>
  </si>
  <si>
    <t>AMATEA</t>
  </si>
  <si>
    <t>AMERICAN EAGLE</t>
  </si>
  <si>
    <t>ANETA</t>
  </si>
  <si>
    <t xml:space="preserve">ARANJUEZ </t>
  </si>
  <si>
    <t>ARCAMIA</t>
  </si>
  <si>
    <t>ARISTOCRAZY</t>
  </si>
  <si>
    <t>BANANA- ATHLETA - GAP</t>
  </si>
  <si>
    <t xml:space="preserve">BASKIN ROBBINS </t>
  </si>
  <si>
    <t>BASSA</t>
  </si>
  <si>
    <t xml:space="preserve">BEBEMUNDO </t>
  </si>
  <si>
    <t xml:space="preserve">BIKE SHOP </t>
  </si>
  <si>
    <t xml:space="preserve">BMW </t>
  </si>
  <si>
    <t xml:space="preserve">BOCATTO DA FIORENTINO </t>
  </si>
  <si>
    <t>BUFFALOS</t>
  </si>
  <si>
    <t xml:space="preserve">BURGUER KING </t>
  </si>
  <si>
    <t>CALVIN KLEIN</t>
  </si>
  <si>
    <t>CALZADO MELISSA</t>
  </si>
  <si>
    <t>CAMPERO</t>
  </si>
  <si>
    <t xml:space="preserve">CAROLINA HERRERA </t>
  </si>
  <si>
    <t>CASA BRASIL</t>
  </si>
  <si>
    <t xml:space="preserve">CEBICHES DE LA RUMIÑAHUI </t>
  </si>
  <si>
    <t>CELLAIRIS</t>
  </si>
  <si>
    <t>CELULAR BOX</t>
  </si>
  <si>
    <t>CHAIDE  y TEMPUR</t>
  </si>
  <si>
    <t>CHERY DONG FENG</t>
  </si>
  <si>
    <t>CHICBERRY FROZEN YOGURT- ISLA</t>
  </si>
  <si>
    <t>CHICBERRY FROZEN YOGURT- BODEGA</t>
  </si>
  <si>
    <t>CHRISTIAN QUINTERO JOYERIA</t>
  </si>
  <si>
    <t>CLARKS</t>
  </si>
  <si>
    <t>CLARO</t>
  </si>
  <si>
    <t>COLE HAAN</t>
  </si>
  <si>
    <t>COLLINS GOOSE FEATHERS</t>
  </si>
  <si>
    <t>COMPLEMENTOS BY TERRANOVA</t>
  </si>
  <si>
    <t>CONHPOL</t>
  </si>
  <si>
    <t>CONVERSE</t>
  </si>
  <si>
    <t>COOK - INSUMOS</t>
  </si>
  <si>
    <t>COTTON CANDY</t>
  </si>
  <si>
    <t xml:space="preserve">CREPES &amp; WAFFLES </t>
  </si>
  <si>
    <t>CROCS</t>
  </si>
  <si>
    <t>CYRILL</t>
  </si>
  <si>
    <t>D BOND</t>
  </si>
  <si>
    <t>DENTALIKA</t>
  </si>
  <si>
    <t>DEPILARTE</t>
  </si>
  <si>
    <t xml:space="preserve">DEPRATI </t>
  </si>
  <si>
    <t xml:space="preserve">DESIGUAL </t>
  </si>
  <si>
    <t xml:space="preserve">DIA  D- JUEGOS </t>
  </si>
  <si>
    <t>DIANTI</t>
  </si>
  <si>
    <t xml:space="preserve">DIOR- STAND </t>
  </si>
  <si>
    <t>DIRECTV - ALTPOWER</t>
  </si>
  <si>
    <t>DIVA</t>
  </si>
  <si>
    <t xml:space="preserve">DOLCE INCONTRO </t>
  </si>
  <si>
    <t>DONUT EXPRESS</t>
  </si>
  <si>
    <t xml:space="preserve">DORMEL </t>
  </si>
  <si>
    <t>ECOMOVE S.A.</t>
  </si>
  <si>
    <t xml:space="preserve">EL CARRETE </t>
  </si>
  <si>
    <t xml:space="preserve">EL DOBLEZ </t>
  </si>
  <si>
    <t>EL ESPAÑOL</t>
  </si>
  <si>
    <t xml:space="preserve">EL GANSO </t>
  </si>
  <si>
    <t>EL PALACIO DE LA FRITADA EXPRESS</t>
  </si>
  <si>
    <t xml:space="preserve">EL TEATRO </t>
  </si>
  <si>
    <t xml:space="preserve">EPK </t>
  </si>
  <si>
    <t>ETAFASHION</t>
  </si>
  <si>
    <t xml:space="preserve">ETNIA </t>
  </si>
  <si>
    <t xml:space="preserve">EXPLORER </t>
  </si>
  <si>
    <t>EYEBROW DESIGN</t>
  </si>
  <si>
    <t>FARMACIA NATURAL VITALITY (ALIVE)</t>
  </si>
  <si>
    <t>FIT &amp; FLEX PILATES MONICA CRESPO</t>
  </si>
  <si>
    <t>FIVE STARS</t>
  </si>
  <si>
    <t>FOCUS</t>
  </si>
  <si>
    <t>FOREVER XXI</t>
  </si>
  <si>
    <t>FUNKY FISH</t>
  </si>
  <si>
    <t>FYBECA</t>
  </si>
  <si>
    <t>GALLETAS CHARLIE´S</t>
  </si>
  <si>
    <t>GEEK CORP</t>
  </si>
  <si>
    <t>HANSEL Y GRETEL</t>
  </si>
  <si>
    <t xml:space="preserve">HUGO BOSS </t>
  </si>
  <si>
    <t>IL CAPPO DI MANGI</t>
  </si>
  <si>
    <t>JOMATIK (fossil)</t>
  </si>
  <si>
    <t xml:space="preserve">JOYERIA VASQUEZ </t>
  </si>
  <si>
    <t>JUAN VALDEZ</t>
  </si>
  <si>
    <t xml:space="preserve">JUGUETON </t>
  </si>
  <si>
    <t>KAO SPORT CENTER</t>
  </si>
  <si>
    <t>KFC</t>
  </si>
  <si>
    <t xml:space="preserve">KOAJ </t>
  </si>
  <si>
    <t xml:space="preserve">KOLONAKI </t>
  </si>
  <si>
    <t xml:space="preserve">KONICA DIGITAL PHOTO EXPRESS </t>
  </si>
  <si>
    <t xml:space="preserve">LA MINA </t>
  </si>
  <si>
    <t>LADO BUENO</t>
  </si>
  <si>
    <t>LAS FRAGANCIAS</t>
  </si>
  <si>
    <t>LEE</t>
  </si>
  <si>
    <t xml:space="preserve">LINEA </t>
  </si>
  <si>
    <t>LIUJO</t>
  </si>
  <si>
    <t xml:space="preserve">L'OCCITANE EN PROVENCE </t>
  </si>
  <si>
    <t>LUCIA COFFEE SHOP</t>
  </si>
  <si>
    <t xml:space="preserve">MAC COSMETICS </t>
  </si>
  <si>
    <t>MANGO-MNG</t>
  </si>
  <si>
    <t xml:space="preserve">MAQUINA DE CHICLES </t>
  </si>
  <si>
    <t>MAQUINA VENDING MACHINES- JUGUETES</t>
  </si>
  <si>
    <t>MARATHON SPORT</t>
  </si>
  <si>
    <t>MARTINIZING-EL SASTRE HEEL QUICK y BODEGA</t>
  </si>
  <si>
    <t>MASTER KEY</t>
  </si>
  <si>
    <t>MAXITEC</t>
  </si>
  <si>
    <t>MAYFLOWER</t>
  </si>
  <si>
    <t>MEDIAS ROLAND</t>
  </si>
  <si>
    <t>MIKAS MARKET</t>
  </si>
  <si>
    <t>MINISO</t>
  </si>
  <si>
    <t xml:space="preserve">MIX TWO </t>
  </si>
  <si>
    <t xml:space="preserve">MONTERO </t>
  </si>
  <si>
    <t>MR BOOKS</t>
  </si>
  <si>
    <t xml:space="preserve">MULTICINES </t>
  </si>
  <si>
    <t>MUNDO DISPLAY LABORATORIOS</t>
  </si>
  <si>
    <t>MUNDO MAGICO DE LA MASCOTA</t>
  </si>
  <si>
    <t>MUY MUCHO</t>
  </si>
  <si>
    <t>NAF NAF</t>
  </si>
  <si>
    <t>NETLIFE</t>
  </si>
  <si>
    <t>NEW BALANCE</t>
  </si>
  <si>
    <t xml:space="preserve">NIKE </t>
  </si>
  <si>
    <t xml:space="preserve">NINE WEST </t>
  </si>
  <si>
    <t>NOE SUSHI BAR-KOBE by NOE</t>
  </si>
  <si>
    <t xml:space="preserve">NORTH FACE </t>
  </si>
  <si>
    <t xml:space="preserve">ONLY &amp; SONS </t>
  </si>
  <si>
    <t xml:space="preserve">OPALO </t>
  </si>
  <si>
    <t>OPTICA LOS ANDES</t>
  </si>
  <si>
    <t>OPTICAS GMO</t>
  </si>
  <si>
    <t>OSBO SHOES &amp; BAGS</t>
  </si>
  <si>
    <t xml:space="preserve">PALACIO </t>
  </si>
  <si>
    <t>PANDORA</t>
  </si>
  <si>
    <t>PARFOIS</t>
  </si>
  <si>
    <t xml:space="preserve">PATAGONIA </t>
  </si>
  <si>
    <t>PAYLESS SHOES</t>
  </si>
  <si>
    <t>PEUGEOT</t>
  </si>
  <si>
    <t>PHARMACYS</t>
  </si>
  <si>
    <t xml:space="preserve">PINTO y PINTO KIDS </t>
  </si>
  <si>
    <t xml:space="preserve">PIZZA HUT </t>
  </si>
  <si>
    <t xml:space="preserve">PLAZA VENDOME </t>
  </si>
  <si>
    <t>PONTI</t>
  </si>
  <si>
    <t>POSTOFFICE NET</t>
  </si>
  <si>
    <t>PROTT IN</t>
  </si>
  <si>
    <t xml:space="preserve">PUNTO BLANCO </t>
  </si>
  <si>
    <t>PURIFICACION GARCIA</t>
  </si>
  <si>
    <t>PUSH</t>
  </si>
  <si>
    <t xml:space="preserve">REPUBLICA DEL CACAO </t>
  </si>
  <si>
    <t>RG ACCESSORIES</t>
  </si>
  <si>
    <t>SAMSUNG</t>
  </si>
  <si>
    <t>SANA PIE</t>
  </si>
  <si>
    <t>SARUKA</t>
  </si>
  <si>
    <t>SEGUNDO MUELLE</t>
  </si>
  <si>
    <t>SPORT PLANET</t>
  </si>
  <si>
    <t>STARBUCKS</t>
  </si>
  <si>
    <t>STEVE MADDEN</t>
  </si>
  <si>
    <t>STUDIO F</t>
  </si>
  <si>
    <t>SUKASA</t>
  </si>
  <si>
    <t>SUNGLASS HOT</t>
  </si>
  <si>
    <t>SUPER KART CENTER</t>
  </si>
  <si>
    <t>SUPER PACO</t>
  </si>
  <si>
    <t xml:space="preserve">SWAROVSKI </t>
  </si>
  <si>
    <t>SWEET &amp; COFFEE</t>
  </si>
  <si>
    <t xml:space="preserve">TABACO Y PIPA </t>
  </si>
  <si>
    <t xml:space="preserve">TABLITA DEL TARTARO </t>
  </si>
  <si>
    <t xml:space="preserve">TAF </t>
  </si>
  <si>
    <t>TALLER DE JOYERIA ROKADA</t>
  </si>
  <si>
    <t>TATY</t>
  </si>
  <si>
    <t>TELESHOP</t>
  </si>
  <si>
    <t>TENNIS</t>
  </si>
  <si>
    <t xml:space="preserve">TERRUA </t>
  </si>
  <si>
    <t>TEXAS</t>
  </si>
  <si>
    <t xml:space="preserve">THE CAVE BARBER SHOP </t>
  </si>
  <si>
    <t xml:space="preserve">THINK </t>
  </si>
  <si>
    <t xml:space="preserve">TOMMY HILFIGER </t>
  </si>
  <si>
    <t>TORTILLA BURRITO BAR</t>
  </si>
  <si>
    <t>TOTTO</t>
  </si>
  <si>
    <t xml:space="preserve">TOUS </t>
  </si>
  <si>
    <t>TVENTAS</t>
  </si>
  <si>
    <t>UNITED COLORS OF BENETTON</t>
  </si>
  <si>
    <t>UNITY STORE</t>
  </si>
  <si>
    <t>URIBE</t>
  </si>
  <si>
    <t>VICTORIA 'S  SECRET</t>
  </si>
  <si>
    <t>WATCH OUT</t>
  </si>
  <si>
    <t>WESTERN UNION</t>
  </si>
  <si>
    <t>WORKOUT DEPILACIÓN Y BRONCEADO</t>
  </si>
  <si>
    <t>YOGURT DE LA AMAZONAS</t>
  </si>
  <si>
    <t>YVES ROCHER</t>
  </si>
  <si>
    <t xml:space="preserve">ZANTISIMO </t>
  </si>
  <si>
    <t>ZENCITY BEAUTY CENTER</t>
  </si>
  <si>
    <t>ruc</t>
  </si>
  <si>
    <t>cod_establecimiento</t>
  </si>
  <si>
    <t>Estado</t>
  </si>
  <si>
    <t>cod_esablecimiento</t>
  </si>
  <si>
    <t>id_establecimiento</t>
  </si>
  <si>
    <t>num</t>
  </si>
  <si>
    <t>NO HAY</t>
  </si>
  <si>
    <t>ABIERTO</t>
  </si>
  <si>
    <t>CERRADO</t>
  </si>
  <si>
    <t>CATEGORIA</t>
  </si>
  <si>
    <t>ACCESORIOS</t>
  </si>
  <si>
    <t>MODA</t>
  </si>
  <si>
    <t>ELECTRO Y TECNOLOGÍA</t>
  </si>
  <si>
    <t>GASTRONOMIA</t>
  </si>
  <si>
    <t>SERVICIOS</t>
  </si>
  <si>
    <t>SALUD Y BELLEZA</t>
  </si>
  <si>
    <t>DEPORTES Y FITNESS</t>
  </si>
  <si>
    <t>INSTRUMENTOS Y ACCESORIOS MUSICALES</t>
  </si>
  <si>
    <t>HOGAR Y DECORACIÓN</t>
  </si>
  <si>
    <t>VEHICULOS</t>
  </si>
  <si>
    <t xml:space="preserve">ACCESORIOS </t>
  </si>
  <si>
    <t>ENTRETENIMIENTO</t>
  </si>
  <si>
    <t>SUPERMERCADOS</t>
  </si>
  <si>
    <t>LIBROS, PAPELERÍA Y REGALOS</t>
  </si>
  <si>
    <t>MASCOTAS</t>
  </si>
  <si>
    <t>PICAL</t>
  </si>
  <si>
    <t>WATCH WORLD</t>
  </si>
  <si>
    <t>data_brick</t>
  </si>
  <si>
    <t>1307042968001007</t>
  </si>
  <si>
    <t>1705391132001003</t>
  </si>
  <si>
    <t>1726913997001001</t>
  </si>
  <si>
    <t>1790027791001036</t>
  </si>
  <si>
    <t>1790558886001071</t>
  </si>
  <si>
    <t>1790558886001080</t>
  </si>
  <si>
    <t>1790622207001010</t>
  </si>
  <si>
    <t>1790994708001037</t>
  </si>
  <si>
    <t>1791274156001006</t>
  </si>
  <si>
    <t>1791284321001023</t>
  </si>
  <si>
    <t>1791394712001003</t>
  </si>
  <si>
    <t>1791738233001016</t>
  </si>
  <si>
    <t>1791891325001012</t>
  </si>
  <si>
    <t>1791952359001054</t>
  </si>
  <si>
    <t>1791997891001018</t>
  </si>
  <si>
    <t>1791997891001029</t>
  </si>
  <si>
    <t>1792003881001042</t>
  </si>
  <si>
    <t>1792003881001043</t>
  </si>
  <si>
    <t>1792022762001020</t>
  </si>
  <si>
    <t>1792092566001001</t>
  </si>
  <si>
    <t>1792190851001011</t>
  </si>
  <si>
    <t>1792236894001021</t>
  </si>
  <si>
    <t>1792397561001004</t>
  </si>
  <si>
    <t>1792461561001004</t>
  </si>
  <si>
    <t>1792820790001003</t>
  </si>
  <si>
    <t>1792984025001004</t>
  </si>
  <si>
    <t>1793140238001013</t>
  </si>
  <si>
    <t>1793158668001001</t>
  </si>
  <si>
    <t>1793198242001003</t>
  </si>
  <si>
    <t>1801872951001003</t>
  </si>
  <si>
    <t>indicad_data_brick</t>
  </si>
  <si>
    <t>102311594001016</t>
  </si>
  <si>
    <t>992106891001053</t>
  </si>
  <si>
    <t>992155272001024</t>
  </si>
  <si>
    <t>993205893001012</t>
  </si>
  <si>
    <t>993372239001025</t>
  </si>
  <si>
    <t>ELECTRONIC GAMES</t>
  </si>
  <si>
    <t>coinc_data_brick</t>
  </si>
  <si>
    <t>data_fact</t>
  </si>
  <si>
    <t>190072002001030</t>
  </si>
  <si>
    <t>190111881001076</t>
  </si>
  <si>
    <t>990011214001032</t>
  </si>
  <si>
    <t>1700066598001005</t>
  </si>
  <si>
    <t>1710138296001005</t>
  </si>
  <si>
    <t>1790016919001139</t>
  </si>
  <si>
    <t>1790016919001140</t>
  </si>
  <si>
    <t>1790236218001082</t>
  </si>
  <si>
    <t>1790646483001051</t>
  </si>
  <si>
    <t>1790710319001117</t>
  </si>
  <si>
    <t>1790746119001031</t>
  </si>
  <si>
    <t>1790896544001010</t>
  </si>
  <si>
    <t>1790985504001023</t>
  </si>
  <si>
    <t>1791308832001010</t>
  </si>
  <si>
    <t>1791309863001007</t>
  </si>
  <si>
    <t>1791361407001007</t>
  </si>
  <si>
    <t>1791413237001085</t>
  </si>
  <si>
    <t>1791413237001110</t>
  </si>
  <si>
    <t>1791415132001157</t>
  </si>
  <si>
    <t>1792072018001184</t>
  </si>
  <si>
    <t>1792141486001029</t>
  </si>
  <si>
    <t>1792144566001003</t>
  </si>
  <si>
    <t>1792278791001016</t>
  </si>
  <si>
    <t>1792535131001007</t>
  </si>
  <si>
    <t>1792642183001001</t>
  </si>
  <si>
    <t>1792742919001003</t>
  </si>
  <si>
    <t>1792919207001002</t>
  </si>
  <si>
    <t>1793193935001002</t>
  </si>
  <si>
    <t>1804381307001001</t>
  </si>
  <si>
    <t>1793200125001003</t>
  </si>
  <si>
    <t>coinc_data_fact</t>
  </si>
  <si>
    <t>indicad_data_fact</t>
  </si>
  <si>
    <t>MEGAMAXI</t>
  </si>
  <si>
    <t>TE DIVIERTES</t>
  </si>
  <si>
    <t>SALUD &amp; FITNESS</t>
  </si>
  <si>
    <t>AUTO CLEAN &amp; GREEN</t>
  </si>
  <si>
    <t>MC DONALDS CUMBAYA</t>
  </si>
  <si>
    <t>MC DONALDS PATIO COMIDAS</t>
  </si>
  <si>
    <t>MC DONALDS HELADOS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</si>
</sst>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" fontId="0" fillId="0" borderId="0" xfId="0" applyNumberFormat="1"/>
    <xf numFmtId="1" fontId="3" fillId="0" borderId="0" xfId="0" applyNumberFormat="1" applyFont="1"/>
    <xf numFmtId="1" fontId="0" fillId="0" borderId="0" xfId="0" quotePrefix="1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/>
    <xf numFmtId="1" fontId="0" fillId="0" borderId="1" xfId="0" applyNumberFormat="1" applyBorder="1"/>
    <xf numFmtId="49" fontId="0" fillId="0" borderId="1" xfId="0" applyNumberFormat="1" applyBorder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D81D-296D-4D38-A7E0-2A605C99F8B3}">
  <dimension ref="A1:N205"/>
  <sheetViews>
    <sheetView tabSelected="1" zoomScaleNormal="100" workbookViewId="0">
      <selection activeCell="B6" sqref="B6"/>
    </sheetView>
  </sheetViews>
  <sheetFormatPr baseColWidth="10" defaultColWidth="11.54296875" defaultRowHeight="14.5" x14ac:dyDescent="0.35"/>
  <cols>
    <col min="2" max="2" width="32.81640625" bestFit="1" customWidth="1"/>
    <col min="3" max="3" width="15.453125" customWidth="1"/>
    <col min="4" max="4" width="18.6328125" bestFit="1" customWidth="1"/>
    <col min="5" max="5" width="17" customWidth="1"/>
    <col min="6" max="6" width="23.08984375" customWidth="1"/>
    <col min="7" max="7" width="20.1796875" bestFit="1" customWidth="1"/>
    <col min="8" max="8" width="23.453125" customWidth="1"/>
    <col min="9" max="9" width="23.81640625" hidden="1" customWidth="1"/>
    <col min="10" max="10" width="17.1796875" hidden="1" customWidth="1"/>
    <col min="11" max="11" width="17.1796875" bestFit="1" customWidth="1"/>
    <col min="12" max="12" width="17.1796875" style="12" hidden="1" customWidth="1"/>
    <col min="13" max="13" width="14.36328125" hidden="1" customWidth="1"/>
    <col min="14" max="14" width="16.1796875" bestFit="1" customWidth="1"/>
  </cols>
  <sheetData>
    <row r="1" spans="1:14" x14ac:dyDescent="0.35">
      <c r="A1" s="8" t="s">
        <v>198</v>
      </c>
      <c r="B1" s="8" t="s">
        <v>0</v>
      </c>
      <c r="C1" s="8" t="s">
        <v>193</v>
      </c>
      <c r="D1" s="8" t="s">
        <v>194</v>
      </c>
      <c r="E1" s="8" t="s">
        <v>195</v>
      </c>
      <c r="F1" s="8" t="s">
        <v>202</v>
      </c>
      <c r="G1" s="8" t="s">
        <v>196</v>
      </c>
      <c r="H1" s="8" t="s">
        <v>197</v>
      </c>
      <c r="I1" s="8" t="s">
        <v>220</v>
      </c>
      <c r="J1" s="8" t="s">
        <v>258</v>
      </c>
      <c r="K1" s="8" t="s">
        <v>251</v>
      </c>
      <c r="L1" s="11" t="s">
        <v>259</v>
      </c>
      <c r="M1" s="8" t="s">
        <v>290</v>
      </c>
      <c r="N1" s="8" t="s">
        <v>291</v>
      </c>
    </row>
    <row r="2" spans="1:14" x14ac:dyDescent="0.35">
      <c r="A2">
        <v>1</v>
      </c>
      <c r="B2" s="1" t="s">
        <v>1</v>
      </c>
      <c r="C2" s="2">
        <v>1793193935001</v>
      </c>
      <c r="D2" s="5">
        <v>2</v>
      </c>
      <c r="E2" t="s">
        <v>200</v>
      </c>
      <c r="F2" t="s">
        <v>203</v>
      </c>
      <c r="G2" t="str">
        <f t="shared" ref="G2:G66" si="0">TEXT(D2,"000")</f>
        <v>002</v>
      </c>
      <c r="H2" t="str">
        <f t="shared" ref="H2:H8" si="1">C2&amp;G2</f>
        <v>1793193935001002</v>
      </c>
      <c r="I2" s="10" t="s">
        <v>252</v>
      </c>
      <c r="J2" t="e">
        <f>MATCH(H2,$I$2:$I$36,0)</f>
        <v>#N/A</v>
      </c>
      <c r="K2">
        <v>0</v>
      </c>
      <c r="L2" s="10" t="s">
        <v>252</v>
      </c>
      <c r="M2">
        <f>MATCH(H2,$L$2:$L$62,0)</f>
        <v>58</v>
      </c>
      <c r="N2">
        <v>1</v>
      </c>
    </row>
    <row r="3" spans="1:14" x14ac:dyDescent="0.35">
      <c r="A3">
        <v>2</v>
      </c>
      <c r="B3" s="1" t="s">
        <v>2</v>
      </c>
      <c r="C3" s="2">
        <v>1792056055001</v>
      </c>
      <c r="D3" s="5">
        <v>13</v>
      </c>
      <c r="E3" s="2" t="s">
        <v>200</v>
      </c>
      <c r="F3" s="7" t="s">
        <v>204</v>
      </c>
      <c r="G3" t="str">
        <f t="shared" si="0"/>
        <v>013</v>
      </c>
      <c r="H3" t="str">
        <f t="shared" si="1"/>
        <v>1792056055001013</v>
      </c>
      <c r="J3" t="e">
        <f t="shared" ref="J3" si="2">MATCH(H3,$I$2:$I$36,0)</f>
        <v>#N/A</v>
      </c>
      <c r="K3">
        <v>0</v>
      </c>
      <c r="M3" t="e">
        <f t="shared" ref="M3" si="3">MATCH(H3,$L$2:$L$62,0)</f>
        <v>#N/A</v>
      </c>
      <c r="N3">
        <v>0</v>
      </c>
    </row>
    <row r="4" spans="1:14" x14ac:dyDescent="0.35">
      <c r="A4">
        <v>3</v>
      </c>
      <c r="B4" s="1" t="s">
        <v>3</v>
      </c>
      <c r="C4" s="2">
        <v>1791836979001</v>
      </c>
      <c r="D4" s="5">
        <v>37</v>
      </c>
      <c r="E4" t="s">
        <v>200</v>
      </c>
      <c r="F4" s="7" t="s">
        <v>204</v>
      </c>
      <c r="G4" t="str">
        <f t="shared" si="0"/>
        <v>037</v>
      </c>
      <c r="H4" t="str">
        <f t="shared" si="1"/>
        <v>1791836979001037</v>
      </c>
      <c r="I4" s="10" t="s">
        <v>253</v>
      </c>
      <c r="J4" t="e">
        <f t="shared" ref="J4:J66" si="4">MATCH(H4,$I$2:$I$36,0)</f>
        <v>#N/A</v>
      </c>
      <c r="K4">
        <v>0</v>
      </c>
      <c r="L4" s="10" t="s">
        <v>253</v>
      </c>
      <c r="M4" t="e">
        <f t="shared" ref="M4:M66" si="5">MATCH(H4,$L$2:$L$62,0)</f>
        <v>#N/A</v>
      </c>
      <c r="N4">
        <v>0</v>
      </c>
    </row>
    <row r="5" spans="1:14" x14ac:dyDescent="0.35">
      <c r="A5">
        <v>4</v>
      </c>
      <c r="B5" s="1" t="s">
        <v>4</v>
      </c>
      <c r="C5" s="2">
        <v>1792373379001</v>
      </c>
      <c r="D5" s="5">
        <v>4</v>
      </c>
      <c r="E5" t="s">
        <v>200</v>
      </c>
      <c r="F5" s="7" t="s">
        <v>206</v>
      </c>
      <c r="G5" t="str">
        <f t="shared" si="0"/>
        <v>004</v>
      </c>
      <c r="H5" t="str">
        <f t="shared" si="1"/>
        <v>1792373379001004</v>
      </c>
      <c r="I5" s="10" t="s">
        <v>254</v>
      </c>
      <c r="J5" t="e">
        <f t="shared" si="4"/>
        <v>#N/A</v>
      </c>
      <c r="K5">
        <v>0</v>
      </c>
      <c r="L5" s="10" t="s">
        <v>254</v>
      </c>
      <c r="M5" t="e">
        <f t="shared" si="5"/>
        <v>#N/A</v>
      </c>
      <c r="N5">
        <v>0</v>
      </c>
    </row>
    <row r="6" spans="1:14" x14ac:dyDescent="0.35">
      <c r="A6">
        <v>5</v>
      </c>
      <c r="B6" s="1" t="s">
        <v>5</v>
      </c>
      <c r="C6" s="2">
        <v>1792278791001</v>
      </c>
      <c r="D6" s="5">
        <v>4</v>
      </c>
      <c r="E6" t="s">
        <v>200</v>
      </c>
      <c r="F6" t="s">
        <v>203</v>
      </c>
      <c r="G6" t="str">
        <f t="shared" si="0"/>
        <v>004</v>
      </c>
      <c r="H6" t="str">
        <f t="shared" si="1"/>
        <v>1792278791001004</v>
      </c>
      <c r="I6" s="10" t="s">
        <v>255</v>
      </c>
      <c r="J6" t="e">
        <f t="shared" si="4"/>
        <v>#N/A</v>
      </c>
      <c r="K6">
        <v>0</v>
      </c>
      <c r="L6" s="10" t="s">
        <v>255</v>
      </c>
      <c r="M6" t="e">
        <f t="shared" si="5"/>
        <v>#N/A</v>
      </c>
      <c r="N6">
        <v>0</v>
      </c>
    </row>
    <row r="7" spans="1:14" x14ac:dyDescent="0.35">
      <c r="A7">
        <v>6</v>
      </c>
      <c r="B7" s="1" t="s">
        <v>6</v>
      </c>
      <c r="C7" s="2">
        <v>990043027001</v>
      </c>
      <c r="D7" s="5">
        <v>187</v>
      </c>
      <c r="E7" t="s">
        <v>200</v>
      </c>
      <c r="F7" s="7" t="s">
        <v>205</v>
      </c>
      <c r="G7" t="str">
        <f t="shared" si="0"/>
        <v>187</v>
      </c>
      <c r="H7" t="str">
        <f t="shared" si="1"/>
        <v>990043027001187</v>
      </c>
      <c r="I7" s="10" t="s">
        <v>256</v>
      </c>
      <c r="J7" t="e">
        <f t="shared" si="4"/>
        <v>#N/A</v>
      </c>
      <c r="K7">
        <v>0</v>
      </c>
      <c r="L7" s="10" t="s">
        <v>256</v>
      </c>
      <c r="M7" t="e">
        <f t="shared" si="5"/>
        <v>#N/A</v>
      </c>
      <c r="N7">
        <v>0</v>
      </c>
    </row>
    <row r="8" spans="1:14" x14ac:dyDescent="0.35">
      <c r="A8">
        <v>7</v>
      </c>
      <c r="B8" s="1" t="s">
        <v>9</v>
      </c>
      <c r="C8" s="2">
        <v>1792742919001</v>
      </c>
      <c r="D8" s="5">
        <v>3</v>
      </c>
      <c r="E8" t="s">
        <v>200</v>
      </c>
      <c r="F8" s="7" t="s">
        <v>206</v>
      </c>
      <c r="G8" t="str">
        <f t="shared" si="0"/>
        <v>003</v>
      </c>
      <c r="H8" t="str">
        <f t="shared" si="1"/>
        <v>1792742919001003</v>
      </c>
      <c r="I8" s="9" t="s">
        <v>221</v>
      </c>
      <c r="J8" t="e">
        <f t="shared" si="4"/>
        <v>#N/A</v>
      </c>
      <c r="K8">
        <v>0</v>
      </c>
      <c r="L8" s="10" t="s">
        <v>221</v>
      </c>
      <c r="M8">
        <f t="shared" si="5"/>
        <v>56</v>
      </c>
      <c r="N8">
        <v>1</v>
      </c>
    </row>
    <row r="9" spans="1:14" x14ac:dyDescent="0.35">
      <c r="A9">
        <v>8</v>
      </c>
      <c r="B9" s="1" t="s">
        <v>8</v>
      </c>
      <c r="C9" s="2">
        <v>1792072018001</v>
      </c>
      <c r="D9" s="5" t="s">
        <v>199</v>
      </c>
      <c r="E9" t="s">
        <v>200</v>
      </c>
      <c r="F9" s="7" t="s">
        <v>206</v>
      </c>
      <c r="G9" t="str">
        <f t="shared" si="0"/>
        <v>NO HAY</v>
      </c>
      <c r="I9" s="9" t="s">
        <v>222</v>
      </c>
      <c r="J9" t="e">
        <f t="shared" si="4"/>
        <v>#N/A</v>
      </c>
      <c r="K9">
        <v>0</v>
      </c>
      <c r="L9" s="10" t="s">
        <v>222</v>
      </c>
      <c r="M9" t="e">
        <f t="shared" si="5"/>
        <v>#N/A</v>
      </c>
      <c r="N9">
        <v>0</v>
      </c>
    </row>
    <row r="10" spans="1:14" x14ac:dyDescent="0.35">
      <c r="A10">
        <v>9</v>
      </c>
      <c r="B10" s="1" t="s">
        <v>10</v>
      </c>
      <c r="C10" s="2">
        <v>1793178650001</v>
      </c>
      <c r="D10" s="5" t="s">
        <v>199</v>
      </c>
      <c r="E10" t="s">
        <v>200</v>
      </c>
      <c r="F10" s="7" t="s">
        <v>204</v>
      </c>
      <c r="G10" t="str">
        <f t="shared" si="0"/>
        <v>NO HAY</v>
      </c>
      <c r="I10" s="10" t="s">
        <v>223</v>
      </c>
      <c r="J10" t="e">
        <f t="shared" si="4"/>
        <v>#N/A</v>
      </c>
      <c r="K10">
        <v>0</v>
      </c>
      <c r="L10" s="10" t="s">
        <v>224</v>
      </c>
      <c r="M10" t="e">
        <f t="shared" si="5"/>
        <v>#N/A</v>
      </c>
      <c r="N10">
        <v>0</v>
      </c>
    </row>
    <row r="11" spans="1:14" x14ac:dyDescent="0.35">
      <c r="A11">
        <v>10</v>
      </c>
      <c r="B11" s="1" t="s">
        <v>7</v>
      </c>
      <c r="C11" s="2">
        <v>1790622207001</v>
      </c>
      <c r="D11" s="5">
        <v>10</v>
      </c>
      <c r="E11" s="2" t="s">
        <v>201</v>
      </c>
      <c r="F11" s="7" t="s">
        <v>204</v>
      </c>
      <c r="G11" t="str">
        <f t="shared" si="0"/>
        <v>010</v>
      </c>
      <c r="H11" t="str">
        <f>C11&amp;G11</f>
        <v>1790622207001010</v>
      </c>
      <c r="I11" s="9" t="s">
        <v>224</v>
      </c>
      <c r="J11">
        <f t="shared" si="4"/>
        <v>13</v>
      </c>
      <c r="K11">
        <v>1</v>
      </c>
      <c r="L11" s="10" t="s">
        <v>227</v>
      </c>
      <c r="M11">
        <f t="shared" si="5"/>
        <v>10</v>
      </c>
      <c r="N11">
        <v>1</v>
      </c>
    </row>
    <row r="12" spans="1:14" x14ac:dyDescent="0.35">
      <c r="A12">
        <v>11</v>
      </c>
      <c r="B12" s="1" t="s">
        <v>11</v>
      </c>
      <c r="C12" s="2">
        <v>1790349578001</v>
      </c>
      <c r="D12" s="5">
        <v>81</v>
      </c>
      <c r="E12" t="s">
        <v>200</v>
      </c>
      <c r="F12" s="7" t="s">
        <v>207</v>
      </c>
      <c r="G12" t="str">
        <f t="shared" si="0"/>
        <v>081</v>
      </c>
      <c r="H12" t="str">
        <f>C12&amp;G12</f>
        <v>1790349578001081</v>
      </c>
      <c r="I12" s="9" t="s">
        <v>225</v>
      </c>
      <c r="J12" t="e">
        <f t="shared" si="4"/>
        <v>#N/A</v>
      </c>
      <c r="K12">
        <v>0</v>
      </c>
      <c r="L12" s="10" t="s">
        <v>228</v>
      </c>
      <c r="M12" t="e">
        <f t="shared" si="5"/>
        <v>#N/A</v>
      </c>
      <c r="N12">
        <v>0</v>
      </c>
    </row>
    <row r="13" spans="1:14" x14ac:dyDescent="0.35">
      <c r="A13">
        <v>12</v>
      </c>
      <c r="B13" s="1" t="s">
        <v>12</v>
      </c>
      <c r="C13" s="2">
        <v>1708017361001</v>
      </c>
      <c r="D13" s="5">
        <v>5</v>
      </c>
      <c r="E13" t="s">
        <v>200</v>
      </c>
      <c r="F13" s="7" t="s">
        <v>204</v>
      </c>
      <c r="G13" t="str">
        <f t="shared" si="0"/>
        <v>005</v>
      </c>
      <c r="H13" t="str">
        <f>C13&amp;G13</f>
        <v>1708017361001005</v>
      </c>
      <c r="I13" s="9" t="s">
        <v>226</v>
      </c>
      <c r="J13" t="e">
        <f t="shared" si="4"/>
        <v>#N/A</v>
      </c>
      <c r="K13">
        <v>0</v>
      </c>
      <c r="L13" s="10" t="s">
        <v>230</v>
      </c>
      <c r="M13" t="e">
        <f t="shared" si="5"/>
        <v>#N/A</v>
      </c>
      <c r="N13">
        <v>0</v>
      </c>
    </row>
    <row r="14" spans="1:14" x14ac:dyDescent="0.35">
      <c r="A14">
        <v>13</v>
      </c>
      <c r="B14" s="1" t="s">
        <v>13</v>
      </c>
      <c r="C14" s="2">
        <v>1793108520001</v>
      </c>
      <c r="D14" s="5">
        <v>8</v>
      </c>
      <c r="E14" t="s">
        <v>200</v>
      </c>
      <c r="F14" s="7" t="s">
        <v>208</v>
      </c>
      <c r="G14" t="str">
        <f t="shared" si="0"/>
        <v>008</v>
      </c>
      <c r="H14" t="str">
        <f>C14&amp;G14</f>
        <v>1793108520001008</v>
      </c>
      <c r="I14" s="9" t="s">
        <v>227</v>
      </c>
      <c r="J14" t="e">
        <f t="shared" si="4"/>
        <v>#N/A</v>
      </c>
      <c r="K14">
        <v>0</v>
      </c>
      <c r="L14" s="10" t="s">
        <v>231</v>
      </c>
      <c r="M14" t="e">
        <f t="shared" si="5"/>
        <v>#N/A</v>
      </c>
      <c r="N14">
        <v>0</v>
      </c>
    </row>
    <row r="15" spans="1:14" x14ac:dyDescent="0.35">
      <c r="A15">
        <v>14</v>
      </c>
      <c r="B15" s="1" t="s">
        <v>14</v>
      </c>
      <c r="C15" s="2">
        <v>1793198014001</v>
      </c>
      <c r="D15" s="5" t="s">
        <v>199</v>
      </c>
      <c r="E15" t="s">
        <v>200</v>
      </c>
      <c r="F15" s="7" t="s">
        <v>203</v>
      </c>
      <c r="G15" t="str">
        <f t="shared" si="0"/>
        <v>NO HAY</v>
      </c>
      <c r="I15" s="9" t="s">
        <v>228</v>
      </c>
      <c r="J15" t="e">
        <f t="shared" si="4"/>
        <v>#N/A</v>
      </c>
      <c r="K15">
        <v>0</v>
      </c>
      <c r="L15" s="10" t="s">
        <v>232</v>
      </c>
      <c r="M15" t="e">
        <f t="shared" si="5"/>
        <v>#N/A</v>
      </c>
      <c r="N15">
        <v>0</v>
      </c>
    </row>
    <row r="16" spans="1:14" x14ac:dyDescent="0.35">
      <c r="A16">
        <v>15</v>
      </c>
      <c r="B16" s="1" t="s">
        <v>295</v>
      </c>
      <c r="C16" s="2">
        <v>1792892066001</v>
      </c>
      <c r="D16" s="5">
        <v>2</v>
      </c>
      <c r="E16" t="s">
        <v>200</v>
      </c>
      <c r="F16" s="7" t="s">
        <v>207</v>
      </c>
      <c r="G16" t="str">
        <f t="shared" si="0"/>
        <v>002</v>
      </c>
      <c r="H16" t="str">
        <f t="shared" ref="H16:H21" si="6">C16&amp;G16</f>
        <v>1792892066001002</v>
      </c>
      <c r="I16" s="9" t="s">
        <v>229</v>
      </c>
      <c r="J16" t="e">
        <f t="shared" si="4"/>
        <v>#N/A</v>
      </c>
      <c r="K16">
        <v>0</v>
      </c>
      <c r="L16" s="10" t="s">
        <v>233</v>
      </c>
      <c r="M16" t="e">
        <f t="shared" si="5"/>
        <v>#N/A</v>
      </c>
      <c r="N16">
        <v>0</v>
      </c>
    </row>
    <row r="17" spans="1:14" x14ac:dyDescent="0.35">
      <c r="A17">
        <v>16</v>
      </c>
      <c r="B17" s="1" t="s">
        <v>15</v>
      </c>
      <c r="C17" s="2">
        <v>1793192099001</v>
      </c>
      <c r="D17" s="5">
        <v>7</v>
      </c>
      <c r="E17" t="s">
        <v>200</v>
      </c>
      <c r="F17" s="7" t="s">
        <v>204</v>
      </c>
      <c r="G17" t="str">
        <f t="shared" si="0"/>
        <v>007</v>
      </c>
      <c r="H17" t="str">
        <f t="shared" si="6"/>
        <v>1793192099001007</v>
      </c>
      <c r="I17" s="9" t="s">
        <v>230</v>
      </c>
      <c r="J17" t="e">
        <f t="shared" si="4"/>
        <v>#N/A</v>
      </c>
      <c r="K17">
        <v>0</v>
      </c>
      <c r="L17" s="10" t="s">
        <v>235</v>
      </c>
      <c r="M17" t="e">
        <f t="shared" si="5"/>
        <v>#N/A</v>
      </c>
      <c r="N17">
        <v>0</v>
      </c>
    </row>
    <row r="18" spans="1:14" x14ac:dyDescent="0.35">
      <c r="A18">
        <v>17</v>
      </c>
      <c r="B18" s="1" t="s">
        <v>16</v>
      </c>
      <c r="C18" s="2">
        <v>1792072018001</v>
      </c>
      <c r="D18" s="5">
        <v>128</v>
      </c>
      <c r="E18" t="s">
        <v>200</v>
      </c>
      <c r="F18" s="7" t="s">
        <v>206</v>
      </c>
      <c r="G18" t="str">
        <f t="shared" si="0"/>
        <v>128</v>
      </c>
      <c r="H18" t="str">
        <f t="shared" si="6"/>
        <v>1792072018001128</v>
      </c>
      <c r="I18" s="9" t="s">
        <v>231</v>
      </c>
      <c r="J18" t="e">
        <f t="shared" si="4"/>
        <v>#N/A</v>
      </c>
      <c r="K18">
        <v>0</v>
      </c>
      <c r="L18" s="10" t="s">
        <v>236</v>
      </c>
      <c r="M18" t="e">
        <f t="shared" si="5"/>
        <v>#N/A</v>
      </c>
      <c r="N18">
        <v>0</v>
      </c>
    </row>
    <row r="19" spans="1:14" x14ac:dyDescent="0.35">
      <c r="A19">
        <v>18</v>
      </c>
      <c r="B19" s="1" t="s">
        <v>17</v>
      </c>
      <c r="C19" s="2">
        <v>990987874001</v>
      </c>
      <c r="D19" s="5">
        <v>15</v>
      </c>
      <c r="E19" t="s">
        <v>200</v>
      </c>
      <c r="F19" s="7" t="s">
        <v>208</v>
      </c>
      <c r="G19" t="str">
        <f t="shared" si="0"/>
        <v>015</v>
      </c>
      <c r="H19" t="str">
        <f t="shared" si="6"/>
        <v>990987874001015</v>
      </c>
      <c r="I19" s="9" t="s">
        <v>232</v>
      </c>
      <c r="J19" t="e">
        <f t="shared" si="4"/>
        <v>#N/A</v>
      </c>
      <c r="K19">
        <v>0</v>
      </c>
      <c r="L19" s="10" t="s">
        <v>237</v>
      </c>
      <c r="M19" t="e">
        <f t="shared" si="5"/>
        <v>#N/A</v>
      </c>
      <c r="N19">
        <v>0</v>
      </c>
    </row>
    <row r="20" spans="1:14" x14ac:dyDescent="0.35">
      <c r="A20">
        <v>19</v>
      </c>
      <c r="B20" s="1" t="s">
        <v>18</v>
      </c>
      <c r="C20" s="2">
        <v>1790322831001</v>
      </c>
      <c r="D20" s="5">
        <v>20</v>
      </c>
      <c r="E20" t="s">
        <v>200</v>
      </c>
      <c r="F20" s="7" t="s">
        <v>204</v>
      </c>
      <c r="G20" t="str">
        <f t="shared" si="0"/>
        <v>020</v>
      </c>
      <c r="H20" t="str">
        <f t="shared" si="6"/>
        <v>1790322831001020</v>
      </c>
      <c r="I20" s="9" t="s">
        <v>233</v>
      </c>
      <c r="J20" t="e">
        <f t="shared" si="4"/>
        <v>#N/A</v>
      </c>
      <c r="K20">
        <v>0</v>
      </c>
      <c r="L20" s="10" t="s">
        <v>238</v>
      </c>
      <c r="M20" t="e">
        <f t="shared" si="5"/>
        <v>#N/A</v>
      </c>
      <c r="N20">
        <v>0</v>
      </c>
    </row>
    <row r="21" spans="1:14" x14ac:dyDescent="0.35">
      <c r="A21">
        <v>20</v>
      </c>
      <c r="B21" s="1" t="s">
        <v>19</v>
      </c>
      <c r="C21" s="2">
        <v>190072002001</v>
      </c>
      <c r="D21" s="5">
        <v>30</v>
      </c>
      <c r="E21" t="s">
        <v>200</v>
      </c>
      <c r="F21" s="7" t="s">
        <v>209</v>
      </c>
      <c r="G21" t="str">
        <f t="shared" si="0"/>
        <v>030</v>
      </c>
      <c r="H21" t="str">
        <f t="shared" si="6"/>
        <v>190072002001030</v>
      </c>
      <c r="I21" s="9" t="s">
        <v>234</v>
      </c>
      <c r="J21" t="e">
        <f t="shared" si="4"/>
        <v>#N/A</v>
      </c>
      <c r="K21">
        <v>0</v>
      </c>
      <c r="L21" s="10" t="s">
        <v>239</v>
      </c>
      <c r="M21">
        <f t="shared" si="5"/>
        <v>31</v>
      </c>
      <c r="N21">
        <v>1</v>
      </c>
    </row>
    <row r="22" spans="1:14" x14ac:dyDescent="0.35">
      <c r="A22">
        <v>21</v>
      </c>
      <c r="B22" s="1" t="s">
        <v>19</v>
      </c>
      <c r="C22" s="2">
        <v>190399524001</v>
      </c>
      <c r="D22" s="5" t="s">
        <v>199</v>
      </c>
      <c r="E22" t="s">
        <v>200</v>
      </c>
      <c r="F22" s="7" t="s">
        <v>209</v>
      </c>
      <c r="G22" t="str">
        <f t="shared" si="0"/>
        <v>NO HAY</v>
      </c>
      <c r="I22" s="9" t="s">
        <v>235</v>
      </c>
      <c r="J22" t="e">
        <f t="shared" si="4"/>
        <v>#N/A</v>
      </c>
      <c r="K22">
        <v>0</v>
      </c>
      <c r="L22" s="10" t="s">
        <v>240</v>
      </c>
      <c r="M22" t="e">
        <f t="shared" si="5"/>
        <v>#N/A</v>
      </c>
      <c r="N22">
        <v>0</v>
      </c>
    </row>
    <row r="23" spans="1:14" x14ac:dyDescent="0.35">
      <c r="A23">
        <v>22</v>
      </c>
      <c r="B23" s="1" t="s">
        <v>20</v>
      </c>
      <c r="C23" s="2">
        <v>1790360741001</v>
      </c>
      <c r="D23" s="5">
        <v>7</v>
      </c>
      <c r="E23" t="s">
        <v>200</v>
      </c>
      <c r="F23" s="7" t="s">
        <v>212</v>
      </c>
      <c r="G23" t="str">
        <f t="shared" si="0"/>
        <v>007</v>
      </c>
      <c r="H23" t="str">
        <f>C23&amp;G23</f>
        <v>1790360741001007</v>
      </c>
      <c r="I23" s="9" t="s">
        <v>236</v>
      </c>
      <c r="J23" t="e">
        <f t="shared" si="4"/>
        <v>#N/A</v>
      </c>
      <c r="K23">
        <v>0</v>
      </c>
      <c r="L23" s="10" t="s">
        <v>241</v>
      </c>
      <c r="M23" t="e">
        <f t="shared" si="5"/>
        <v>#N/A</v>
      </c>
      <c r="N23">
        <v>0</v>
      </c>
    </row>
    <row r="24" spans="1:14" x14ac:dyDescent="0.35">
      <c r="A24">
        <v>23</v>
      </c>
      <c r="B24" s="1" t="s">
        <v>21</v>
      </c>
      <c r="C24" s="2">
        <v>1792092566001</v>
      </c>
      <c r="D24" s="5">
        <v>1</v>
      </c>
      <c r="E24" t="s">
        <v>200</v>
      </c>
      <c r="F24" s="7" t="s">
        <v>206</v>
      </c>
      <c r="G24" t="str">
        <f t="shared" si="0"/>
        <v>001</v>
      </c>
      <c r="H24" t="str">
        <f>C24&amp;G24</f>
        <v>1792092566001001</v>
      </c>
      <c r="I24" s="9" t="s">
        <v>237</v>
      </c>
      <c r="J24">
        <f t="shared" si="4"/>
        <v>26</v>
      </c>
      <c r="K24">
        <v>1</v>
      </c>
      <c r="L24" s="10" t="s">
        <v>242</v>
      </c>
      <c r="M24">
        <f t="shared" si="5"/>
        <v>21</v>
      </c>
      <c r="N24">
        <v>1</v>
      </c>
    </row>
    <row r="25" spans="1:14" x14ac:dyDescent="0.35">
      <c r="A25">
        <v>24</v>
      </c>
      <c r="B25" s="1" t="s">
        <v>22</v>
      </c>
      <c r="C25" s="2">
        <v>1792003881001</v>
      </c>
      <c r="D25" s="5">
        <v>42</v>
      </c>
      <c r="E25" t="s">
        <v>200</v>
      </c>
      <c r="F25" s="7" t="s">
        <v>206</v>
      </c>
      <c r="G25" t="str">
        <f t="shared" si="0"/>
        <v>042</v>
      </c>
      <c r="H25" t="str">
        <f>C25&amp;G25</f>
        <v>1792003881001042</v>
      </c>
      <c r="I25" s="9" t="s">
        <v>238</v>
      </c>
      <c r="J25">
        <f t="shared" si="4"/>
        <v>23</v>
      </c>
      <c r="K25">
        <v>1</v>
      </c>
      <c r="L25" s="10" t="s">
        <v>243</v>
      </c>
      <c r="M25">
        <f t="shared" si="5"/>
        <v>18</v>
      </c>
      <c r="N25">
        <v>1</v>
      </c>
    </row>
    <row r="26" spans="1:14" x14ac:dyDescent="0.35">
      <c r="A26">
        <v>25</v>
      </c>
      <c r="B26" s="1" t="s">
        <v>23</v>
      </c>
      <c r="C26" s="2">
        <v>993372239001</v>
      </c>
      <c r="D26" s="5">
        <v>25</v>
      </c>
      <c r="E26" t="s">
        <v>200</v>
      </c>
      <c r="F26" s="7" t="s">
        <v>206</v>
      </c>
      <c r="G26" t="str">
        <f t="shared" si="0"/>
        <v>025</v>
      </c>
      <c r="H26" t="str">
        <f>C26&amp;G26</f>
        <v>993372239001025</v>
      </c>
      <c r="I26" s="9" t="s">
        <v>239</v>
      </c>
      <c r="J26">
        <f t="shared" si="4"/>
        <v>6</v>
      </c>
      <c r="K26">
        <v>1</v>
      </c>
      <c r="L26" s="10" t="s">
        <v>244</v>
      </c>
      <c r="M26">
        <f t="shared" si="5"/>
        <v>6</v>
      </c>
      <c r="N26">
        <v>1</v>
      </c>
    </row>
    <row r="27" spans="1:14" x14ac:dyDescent="0.35">
      <c r="A27">
        <v>26</v>
      </c>
      <c r="B27" s="1" t="s">
        <v>24</v>
      </c>
      <c r="C27" s="2">
        <v>992622393001</v>
      </c>
      <c r="D27" s="5" t="s">
        <v>199</v>
      </c>
      <c r="E27" t="s">
        <v>200</v>
      </c>
      <c r="F27" s="7" t="s">
        <v>204</v>
      </c>
      <c r="G27" t="str">
        <f t="shared" si="0"/>
        <v>NO HAY</v>
      </c>
      <c r="I27" s="9" t="s">
        <v>240</v>
      </c>
      <c r="J27" t="e">
        <f t="shared" si="4"/>
        <v>#N/A</v>
      </c>
      <c r="K27">
        <v>0</v>
      </c>
      <c r="L27" s="10" t="s">
        <v>246</v>
      </c>
      <c r="M27" t="e">
        <f t="shared" si="5"/>
        <v>#N/A</v>
      </c>
      <c r="N27">
        <v>0</v>
      </c>
    </row>
    <row r="28" spans="1:14" x14ac:dyDescent="0.35">
      <c r="A28">
        <v>27</v>
      </c>
      <c r="B28" s="1" t="s">
        <v>25</v>
      </c>
      <c r="C28" s="2">
        <v>1792923980001</v>
      </c>
      <c r="D28" s="5">
        <v>3</v>
      </c>
      <c r="E28" t="s">
        <v>200</v>
      </c>
      <c r="F28" s="7" t="s">
        <v>203</v>
      </c>
      <c r="G28" t="str">
        <f t="shared" si="0"/>
        <v>003</v>
      </c>
      <c r="H28" t="str">
        <f>C28&amp;G28</f>
        <v>1792923980001003</v>
      </c>
      <c r="I28" s="9" t="s">
        <v>241</v>
      </c>
      <c r="J28" t="e">
        <f t="shared" si="4"/>
        <v>#N/A</v>
      </c>
      <c r="K28">
        <v>0</v>
      </c>
      <c r="L28" s="10" t="s">
        <v>247</v>
      </c>
      <c r="M28" t="e">
        <f t="shared" si="5"/>
        <v>#N/A</v>
      </c>
      <c r="N28">
        <v>0</v>
      </c>
    </row>
    <row r="29" spans="1:14" x14ac:dyDescent="0.35">
      <c r="A29">
        <v>28</v>
      </c>
      <c r="B29" s="1" t="s">
        <v>26</v>
      </c>
      <c r="C29" s="2">
        <v>1791997891001</v>
      </c>
      <c r="D29" s="5">
        <v>29</v>
      </c>
      <c r="E29" t="s">
        <v>200</v>
      </c>
      <c r="F29" s="7" t="s">
        <v>206</v>
      </c>
      <c r="G29" t="str">
        <f t="shared" si="0"/>
        <v>029</v>
      </c>
      <c r="H29" t="str">
        <f>C29&amp;G29</f>
        <v>1791997891001029</v>
      </c>
      <c r="I29" s="9" t="s">
        <v>242</v>
      </c>
      <c r="J29">
        <f t="shared" si="4"/>
        <v>22</v>
      </c>
      <c r="K29">
        <v>1</v>
      </c>
      <c r="L29" s="10" t="s">
        <v>248</v>
      </c>
      <c r="M29">
        <f t="shared" si="5"/>
        <v>17</v>
      </c>
      <c r="N29">
        <v>1</v>
      </c>
    </row>
    <row r="30" spans="1:14" x14ac:dyDescent="0.35">
      <c r="A30">
        <v>29</v>
      </c>
      <c r="B30" s="1" t="s">
        <v>27</v>
      </c>
      <c r="C30" s="2">
        <v>1791836979001</v>
      </c>
      <c r="D30" s="5">
        <v>22</v>
      </c>
      <c r="E30" t="s">
        <v>200</v>
      </c>
      <c r="F30" s="7" t="s">
        <v>203</v>
      </c>
      <c r="G30" t="str">
        <f t="shared" si="0"/>
        <v>022</v>
      </c>
      <c r="H30" t="str">
        <f>C30&amp;G30</f>
        <v>1791836979001022</v>
      </c>
      <c r="I30" s="9" t="s">
        <v>243</v>
      </c>
      <c r="J30" t="e">
        <f t="shared" si="4"/>
        <v>#N/A</v>
      </c>
      <c r="K30">
        <v>0</v>
      </c>
      <c r="L30" s="10" t="s">
        <v>249</v>
      </c>
      <c r="M30" t="e">
        <f t="shared" si="5"/>
        <v>#N/A</v>
      </c>
      <c r="N30">
        <v>0</v>
      </c>
    </row>
    <row r="31" spans="1:14" x14ac:dyDescent="0.35">
      <c r="A31">
        <v>30</v>
      </c>
      <c r="B31" s="1" t="s">
        <v>28</v>
      </c>
      <c r="C31" s="2">
        <v>1791306112001</v>
      </c>
      <c r="D31" s="5" t="s">
        <v>199</v>
      </c>
      <c r="E31" t="s">
        <v>200</v>
      </c>
      <c r="F31" s="7" t="s">
        <v>210</v>
      </c>
      <c r="G31" t="str">
        <f t="shared" si="0"/>
        <v>NO HAY</v>
      </c>
      <c r="I31" s="9" t="s">
        <v>244</v>
      </c>
      <c r="J31" t="e">
        <f t="shared" si="4"/>
        <v>#N/A</v>
      </c>
      <c r="K31">
        <v>0</v>
      </c>
      <c r="L31" s="10" t="s">
        <v>250</v>
      </c>
      <c r="M31" t="e">
        <f t="shared" si="5"/>
        <v>#N/A</v>
      </c>
      <c r="N31">
        <v>0</v>
      </c>
    </row>
    <row r="32" spans="1:14" x14ac:dyDescent="0.35">
      <c r="A32">
        <v>31</v>
      </c>
      <c r="B32" s="1" t="s">
        <v>29</v>
      </c>
      <c r="C32" s="2">
        <v>1791891325001</v>
      </c>
      <c r="D32" s="5">
        <v>12</v>
      </c>
      <c r="E32" t="s">
        <v>200</v>
      </c>
      <c r="F32" s="7" t="s">
        <v>206</v>
      </c>
      <c r="G32" t="str">
        <f t="shared" si="0"/>
        <v>012</v>
      </c>
      <c r="H32" t="str">
        <f t="shared" ref="H32:H59" si="7">C32&amp;G32</f>
        <v>1791891325001012</v>
      </c>
      <c r="I32" s="9" t="s">
        <v>246</v>
      </c>
      <c r="J32">
        <f t="shared" si="4"/>
        <v>19</v>
      </c>
      <c r="K32">
        <v>1</v>
      </c>
      <c r="L32" s="10" t="s">
        <v>260</v>
      </c>
      <c r="M32">
        <f t="shared" si="5"/>
        <v>15</v>
      </c>
      <c r="N32">
        <v>1</v>
      </c>
    </row>
    <row r="33" spans="1:14" x14ac:dyDescent="0.35">
      <c r="A33">
        <v>32</v>
      </c>
      <c r="B33" s="1" t="s">
        <v>30</v>
      </c>
      <c r="C33" s="2">
        <v>190413233001</v>
      </c>
      <c r="D33" s="5">
        <v>13</v>
      </c>
      <c r="E33" t="s">
        <v>200</v>
      </c>
      <c r="F33" s="7" t="s">
        <v>205</v>
      </c>
      <c r="G33" t="str">
        <f t="shared" si="0"/>
        <v>013</v>
      </c>
      <c r="H33" t="str">
        <f t="shared" si="7"/>
        <v>190413233001013</v>
      </c>
      <c r="I33" s="9" t="s">
        <v>247</v>
      </c>
      <c r="J33" t="e">
        <f t="shared" si="4"/>
        <v>#N/A</v>
      </c>
      <c r="K33">
        <v>0</v>
      </c>
      <c r="L33" s="10" t="s">
        <v>261</v>
      </c>
      <c r="M33" t="e">
        <f t="shared" si="5"/>
        <v>#N/A</v>
      </c>
      <c r="N33">
        <v>0</v>
      </c>
    </row>
    <row r="34" spans="1:14" x14ac:dyDescent="0.35">
      <c r="A34">
        <v>33</v>
      </c>
      <c r="B34" s="1" t="s">
        <v>31</v>
      </c>
      <c r="C34" s="2">
        <v>1804381307001</v>
      </c>
      <c r="D34" s="5">
        <v>1</v>
      </c>
      <c r="E34" t="s">
        <v>200</v>
      </c>
      <c r="F34" s="7" t="s">
        <v>205</v>
      </c>
      <c r="G34" t="str">
        <f t="shared" si="0"/>
        <v>001</v>
      </c>
      <c r="H34" t="str">
        <f t="shared" si="7"/>
        <v>1804381307001001</v>
      </c>
      <c r="I34" s="9" t="s">
        <v>248</v>
      </c>
      <c r="J34" t="e">
        <f t="shared" si="4"/>
        <v>#N/A</v>
      </c>
      <c r="K34">
        <v>0</v>
      </c>
      <c r="L34" s="10" t="s">
        <v>262</v>
      </c>
      <c r="M34">
        <f t="shared" si="5"/>
        <v>59</v>
      </c>
      <c r="N34">
        <v>1</v>
      </c>
    </row>
    <row r="35" spans="1:14" x14ac:dyDescent="0.35">
      <c r="A35">
        <v>34</v>
      </c>
      <c r="B35" s="1" t="s">
        <v>32</v>
      </c>
      <c r="C35" s="2">
        <v>1790241483001</v>
      </c>
      <c r="D35" s="5">
        <v>19</v>
      </c>
      <c r="E35" t="s">
        <v>200</v>
      </c>
      <c r="F35" s="7" t="s">
        <v>211</v>
      </c>
      <c r="G35" t="str">
        <f t="shared" si="0"/>
        <v>019</v>
      </c>
      <c r="H35" t="str">
        <f t="shared" si="7"/>
        <v>1790241483001019</v>
      </c>
      <c r="I35" s="9" t="s">
        <v>249</v>
      </c>
      <c r="J35" t="e">
        <f t="shared" si="4"/>
        <v>#N/A</v>
      </c>
      <c r="K35">
        <v>0</v>
      </c>
      <c r="L35" s="10" t="s">
        <v>263</v>
      </c>
      <c r="M35" t="e">
        <f t="shared" si="5"/>
        <v>#N/A</v>
      </c>
      <c r="N35">
        <v>0</v>
      </c>
    </row>
    <row r="36" spans="1:14" x14ac:dyDescent="0.35">
      <c r="A36">
        <v>35</v>
      </c>
      <c r="B36" s="1" t="s">
        <v>33</v>
      </c>
      <c r="C36" s="2">
        <v>1793118925001</v>
      </c>
      <c r="D36" s="5">
        <v>6</v>
      </c>
      <c r="E36" t="s">
        <v>200</v>
      </c>
      <c r="F36" s="7" t="s">
        <v>212</v>
      </c>
      <c r="G36" t="str">
        <f t="shared" si="0"/>
        <v>006</v>
      </c>
      <c r="H36" t="str">
        <f t="shared" si="7"/>
        <v>1793118925001006</v>
      </c>
      <c r="I36" s="9" t="s">
        <v>250</v>
      </c>
      <c r="J36" t="e">
        <f t="shared" si="4"/>
        <v>#N/A</v>
      </c>
      <c r="K36">
        <v>0</v>
      </c>
      <c r="L36" s="10" t="s">
        <v>264</v>
      </c>
      <c r="M36" t="e">
        <f t="shared" si="5"/>
        <v>#N/A</v>
      </c>
      <c r="N36">
        <v>0</v>
      </c>
    </row>
    <row r="37" spans="1:14" x14ac:dyDescent="0.35">
      <c r="A37">
        <v>36</v>
      </c>
      <c r="B37" s="1" t="s">
        <v>35</v>
      </c>
      <c r="C37" s="2">
        <v>1801070093001</v>
      </c>
      <c r="D37" s="5">
        <v>7</v>
      </c>
      <c r="E37" t="s">
        <v>200</v>
      </c>
      <c r="F37" s="7" t="s">
        <v>206</v>
      </c>
      <c r="G37" t="str">
        <f t="shared" si="0"/>
        <v>007</v>
      </c>
      <c r="H37" t="str">
        <f t="shared" si="7"/>
        <v>1801070093001007</v>
      </c>
      <c r="J37" t="e">
        <f t="shared" si="4"/>
        <v>#N/A</v>
      </c>
      <c r="K37">
        <v>0</v>
      </c>
      <c r="L37" s="10" t="s">
        <v>265</v>
      </c>
      <c r="M37" t="e">
        <f t="shared" si="5"/>
        <v>#N/A</v>
      </c>
      <c r="N37">
        <v>0</v>
      </c>
    </row>
    <row r="38" spans="1:14" x14ac:dyDescent="0.35">
      <c r="A38">
        <v>37</v>
      </c>
      <c r="B38" s="1" t="s">
        <v>34</v>
      </c>
      <c r="C38" s="2">
        <v>1793195709001</v>
      </c>
      <c r="D38" s="5">
        <v>4</v>
      </c>
      <c r="E38" t="s">
        <v>200</v>
      </c>
      <c r="F38" s="7" t="s">
        <v>206</v>
      </c>
      <c r="G38" t="str">
        <f t="shared" si="0"/>
        <v>004</v>
      </c>
      <c r="H38" t="str">
        <f t="shared" si="7"/>
        <v>1793195709001004</v>
      </c>
      <c r="J38" t="e">
        <f t="shared" si="4"/>
        <v>#N/A</v>
      </c>
      <c r="K38">
        <v>0</v>
      </c>
      <c r="L38" s="10" t="s">
        <v>266</v>
      </c>
      <c r="M38" t="e">
        <f t="shared" si="5"/>
        <v>#N/A</v>
      </c>
      <c r="N38">
        <v>0</v>
      </c>
    </row>
    <row r="39" spans="1:14" x14ac:dyDescent="0.35">
      <c r="A39">
        <v>38</v>
      </c>
      <c r="B39" s="1" t="s">
        <v>36</v>
      </c>
      <c r="C39" s="2">
        <v>1792991145001</v>
      </c>
      <c r="D39" s="5">
        <v>2</v>
      </c>
      <c r="E39" s="2" t="s">
        <v>201</v>
      </c>
      <c r="F39" s="7" t="s">
        <v>203</v>
      </c>
      <c r="G39" t="str">
        <f t="shared" si="0"/>
        <v>002</v>
      </c>
      <c r="H39" t="str">
        <f t="shared" si="7"/>
        <v>1792991145001002</v>
      </c>
      <c r="J39" t="e">
        <f t="shared" si="4"/>
        <v>#N/A</v>
      </c>
      <c r="K39">
        <v>0</v>
      </c>
      <c r="L39" s="10" t="s">
        <v>267</v>
      </c>
      <c r="M39" t="e">
        <f t="shared" si="5"/>
        <v>#N/A</v>
      </c>
      <c r="N39">
        <v>0</v>
      </c>
    </row>
    <row r="40" spans="1:14" x14ac:dyDescent="0.35">
      <c r="A40">
        <v>39</v>
      </c>
      <c r="B40" s="1" t="s">
        <v>37</v>
      </c>
      <c r="C40" s="2">
        <v>992952423001</v>
      </c>
      <c r="D40" s="5">
        <v>14</v>
      </c>
      <c r="E40" s="2" t="s">
        <v>200</v>
      </c>
      <c r="F40" s="7" t="s">
        <v>203</v>
      </c>
      <c r="G40" t="str">
        <f t="shared" si="0"/>
        <v>014</v>
      </c>
      <c r="H40" t="str">
        <f t="shared" si="7"/>
        <v>992952423001014</v>
      </c>
      <c r="J40" t="e">
        <f t="shared" si="4"/>
        <v>#N/A</v>
      </c>
      <c r="K40">
        <v>0</v>
      </c>
      <c r="L40" s="10" t="s">
        <v>268</v>
      </c>
      <c r="M40" t="e">
        <f t="shared" si="5"/>
        <v>#N/A</v>
      </c>
      <c r="N40">
        <v>0</v>
      </c>
    </row>
    <row r="41" spans="1:14" x14ac:dyDescent="0.35">
      <c r="A41">
        <v>40</v>
      </c>
      <c r="B41" s="1" t="s">
        <v>38</v>
      </c>
      <c r="C41" s="2">
        <v>1791251237001</v>
      </c>
      <c r="D41" s="5">
        <v>121</v>
      </c>
      <c r="E41" s="2" t="s">
        <v>200</v>
      </c>
      <c r="F41" s="7" t="s">
        <v>207</v>
      </c>
      <c r="G41" t="str">
        <f t="shared" si="0"/>
        <v>121</v>
      </c>
      <c r="H41" t="str">
        <f t="shared" si="7"/>
        <v>1791251237001121</v>
      </c>
      <c r="J41" t="e">
        <f t="shared" si="4"/>
        <v>#N/A</v>
      </c>
      <c r="K41">
        <v>0</v>
      </c>
      <c r="L41" s="10" t="s">
        <v>269</v>
      </c>
      <c r="M41" t="e">
        <f t="shared" si="5"/>
        <v>#N/A</v>
      </c>
      <c r="N41">
        <v>0</v>
      </c>
    </row>
    <row r="42" spans="1:14" x14ac:dyDescent="0.35">
      <c r="A42">
        <v>41</v>
      </c>
      <c r="B42" s="1" t="s">
        <v>39</v>
      </c>
      <c r="C42" s="2">
        <v>992653884001</v>
      </c>
      <c r="D42" s="5">
        <v>12</v>
      </c>
      <c r="E42" s="2" t="s">
        <v>200</v>
      </c>
      <c r="F42" s="7" t="s">
        <v>213</v>
      </c>
      <c r="G42" t="str">
        <f t="shared" si="0"/>
        <v>012</v>
      </c>
      <c r="H42" t="str">
        <f t="shared" si="7"/>
        <v>992653884001012</v>
      </c>
      <c r="J42" t="e">
        <f t="shared" si="4"/>
        <v>#N/A</v>
      </c>
      <c r="K42">
        <v>0</v>
      </c>
      <c r="L42" s="10" t="s">
        <v>270</v>
      </c>
      <c r="M42" t="e">
        <f t="shared" si="5"/>
        <v>#N/A</v>
      </c>
      <c r="N42">
        <v>0</v>
      </c>
    </row>
    <row r="43" spans="1:14" x14ac:dyDescent="0.35">
      <c r="A43">
        <v>42</v>
      </c>
      <c r="B43" s="1" t="s">
        <v>40</v>
      </c>
      <c r="C43" s="2">
        <v>1802871218001</v>
      </c>
      <c r="D43" s="5">
        <v>2</v>
      </c>
      <c r="E43" s="2" t="s">
        <v>200</v>
      </c>
      <c r="F43" s="7" t="s">
        <v>211</v>
      </c>
      <c r="G43" t="str">
        <f t="shared" si="0"/>
        <v>002</v>
      </c>
      <c r="H43" t="str">
        <f t="shared" si="7"/>
        <v>1802871218001002</v>
      </c>
      <c r="J43" t="e">
        <f t="shared" si="4"/>
        <v>#N/A</v>
      </c>
      <c r="K43">
        <v>0</v>
      </c>
      <c r="L43" s="10" t="s">
        <v>271</v>
      </c>
      <c r="M43" t="e">
        <f t="shared" si="5"/>
        <v>#N/A</v>
      </c>
      <c r="N43">
        <v>0</v>
      </c>
    </row>
    <row r="44" spans="1:14" x14ac:dyDescent="0.35">
      <c r="A44">
        <v>43</v>
      </c>
      <c r="B44" s="1" t="s">
        <v>41</v>
      </c>
      <c r="C44" s="2">
        <v>1792739675001</v>
      </c>
      <c r="D44" s="5">
        <v>2</v>
      </c>
      <c r="E44" s="2" t="s">
        <v>200</v>
      </c>
      <c r="F44" s="7" t="s">
        <v>203</v>
      </c>
      <c r="G44" t="str">
        <f t="shared" si="0"/>
        <v>002</v>
      </c>
      <c r="H44" t="str">
        <f t="shared" si="7"/>
        <v>1792739675001002</v>
      </c>
      <c r="J44" t="e">
        <f t="shared" si="4"/>
        <v>#N/A</v>
      </c>
      <c r="K44">
        <v>0</v>
      </c>
      <c r="L44" s="10" t="s">
        <v>272</v>
      </c>
      <c r="M44" t="e">
        <f t="shared" si="5"/>
        <v>#N/A</v>
      </c>
      <c r="N44">
        <v>0</v>
      </c>
    </row>
    <row r="45" spans="1:14" x14ac:dyDescent="0.35">
      <c r="A45">
        <v>44</v>
      </c>
      <c r="B45" s="1" t="s">
        <v>42</v>
      </c>
      <c r="C45" s="2">
        <v>1792361699001</v>
      </c>
      <c r="D45" s="5">
        <v>3</v>
      </c>
      <c r="E45" s="2" t="s">
        <v>200</v>
      </c>
      <c r="F45" s="7" t="s">
        <v>203</v>
      </c>
      <c r="G45" t="str">
        <f t="shared" si="0"/>
        <v>003</v>
      </c>
      <c r="H45" t="str">
        <f t="shared" si="7"/>
        <v>1792361699001003</v>
      </c>
      <c r="J45" t="e">
        <f t="shared" si="4"/>
        <v>#N/A</v>
      </c>
      <c r="K45">
        <v>0</v>
      </c>
      <c r="L45" s="10" t="s">
        <v>273</v>
      </c>
      <c r="M45" t="e">
        <f t="shared" si="5"/>
        <v>#N/A</v>
      </c>
      <c r="N45">
        <v>0</v>
      </c>
    </row>
    <row r="46" spans="1:14" x14ac:dyDescent="0.35">
      <c r="A46">
        <v>45</v>
      </c>
      <c r="B46" s="1" t="s">
        <v>43</v>
      </c>
      <c r="C46" s="2">
        <v>1792436176001</v>
      </c>
      <c r="D46" s="5">
        <v>3</v>
      </c>
      <c r="E46" s="2" t="s">
        <v>200</v>
      </c>
      <c r="F46" s="7" t="s">
        <v>203</v>
      </c>
      <c r="G46" t="str">
        <f t="shared" si="0"/>
        <v>003</v>
      </c>
      <c r="H46" t="str">
        <f t="shared" si="7"/>
        <v>1792436176001003</v>
      </c>
      <c r="J46" t="e">
        <f t="shared" si="4"/>
        <v>#N/A</v>
      </c>
      <c r="K46">
        <v>0</v>
      </c>
      <c r="L46" s="10" t="s">
        <v>274</v>
      </c>
      <c r="M46" t="e">
        <f t="shared" si="5"/>
        <v>#N/A</v>
      </c>
      <c r="N46">
        <v>0</v>
      </c>
    </row>
    <row r="47" spans="1:14" x14ac:dyDescent="0.35">
      <c r="A47">
        <v>46</v>
      </c>
      <c r="B47" s="1" t="s">
        <v>44</v>
      </c>
      <c r="C47" s="2">
        <v>400865911001</v>
      </c>
      <c r="D47" s="5">
        <v>4</v>
      </c>
      <c r="E47" s="2" t="s">
        <v>200</v>
      </c>
      <c r="F47" s="7" t="s">
        <v>206</v>
      </c>
      <c r="G47" t="str">
        <f t="shared" si="0"/>
        <v>004</v>
      </c>
      <c r="H47" t="str">
        <f t="shared" si="7"/>
        <v>400865911001004</v>
      </c>
      <c r="J47" t="e">
        <f t="shared" si="4"/>
        <v>#N/A</v>
      </c>
      <c r="K47">
        <v>0</v>
      </c>
      <c r="L47" s="10" t="s">
        <v>275</v>
      </c>
      <c r="M47" t="e">
        <f t="shared" si="5"/>
        <v>#N/A</v>
      </c>
      <c r="N47">
        <v>0</v>
      </c>
    </row>
    <row r="48" spans="1:14" x14ac:dyDescent="0.35">
      <c r="A48">
        <v>47</v>
      </c>
      <c r="B48" s="1" t="s">
        <v>45</v>
      </c>
      <c r="C48" s="2">
        <v>1803106432001</v>
      </c>
      <c r="D48" s="5">
        <v>2</v>
      </c>
      <c r="E48" s="2" t="s">
        <v>200</v>
      </c>
      <c r="F48" s="7" t="s">
        <v>206</v>
      </c>
      <c r="G48" t="str">
        <f t="shared" si="0"/>
        <v>002</v>
      </c>
      <c r="H48" t="str">
        <f t="shared" si="7"/>
        <v>1803106432001002</v>
      </c>
      <c r="J48" t="e">
        <f t="shared" si="4"/>
        <v>#N/A</v>
      </c>
      <c r="K48">
        <v>0</v>
      </c>
      <c r="L48" s="10" t="s">
        <v>276</v>
      </c>
      <c r="M48" t="e">
        <f t="shared" si="5"/>
        <v>#N/A</v>
      </c>
      <c r="N48">
        <v>0</v>
      </c>
    </row>
    <row r="49" spans="1:14" x14ac:dyDescent="0.35">
      <c r="A49">
        <v>48</v>
      </c>
      <c r="B49" s="1" t="s">
        <v>46</v>
      </c>
      <c r="C49" s="2">
        <v>1791274156001</v>
      </c>
      <c r="D49" s="5">
        <v>6</v>
      </c>
      <c r="E49" s="2" t="s">
        <v>200</v>
      </c>
      <c r="F49" s="7" t="s">
        <v>206</v>
      </c>
      <c r="G49" t="str">
        <f t="shared" si="0"/>
        <v>006</v>
      </c>
      <c r="H49" t="str">
        <f t="shared" si="7"/>
        <v>1791274156001006</v>
      </c>
      <c r="J49">
        <f t="shared" si="4"/>
        <v>15</v>
      </c>
      <c r="K49">
        <v>1</v>
      </c>
      <c r="L49" s="10" t="s">
        <v>277</v>
      </c>
      <c r="M49" t="e">
        <f t="shared" si="5"/>
        <v>#N/A</v>
      </c>
      <c r="N49">
        <v>0</v>
      </c>
    </row>
    <row r="50" spans="1:14" x14ac:dyDescent="0.35">
      <c r="A50">
        <v>49</v>
      </c>
      <c r="B50" s="1" t="s">
        <v>47</v>
      </c>
      <c r="C50" s="2">
        <v>1791894499001</v>
      </c>
      <c r="D50" s="5">
        <v>13</v>
      </c>
      <c r="E50" s="2" t="s">
        <v>200</v>
      </c>
      <c r="F50" s="7" t="s">
        <v>203</v>
      </c>
      <c r="G50" t="str">
        <f t="shared" si="0"/>
        <v>013</v>
      </c>
      <c r="H50" t="str">
        <f t="shared" si="7"/>
        <v>1791894499001013</v>
      </c>
      <c r="J50" t="e">
        <f t="shared" si="4"/>
        <v>#N/A</v>
      </c>
      <c r="K50">
        <v>0</v>
      </c>
      <c r="L50" s="10" t="s">
        <v>278</v>
      </c>
      <c r="M50" t="e">
        <f t="shared" si="5"/>
        <v>#N/A</v>
      </c>
      <c r="N50">
        <v>0</v>
      </c>
    </row>
    <row r="51" spans="1:14" x14ac:dyDescent="0.35">
      <c r="A51">
        <v>50</v>
      </c>
      <c r="B51" s="1" t="s">
        <v>48</v>
      </c>
      <c r="C51" s="2">
        <v>1792535131001</v>
      </c>
      <c r="D51" s="5">
        <v>7</v>
      </c>
      <c r="E51" s="2" t="s">
        <v>200</v>
      </c>
      <c r="F51" s="7" t="s">
        <v>206</v>
      </c>
      <c r="G51" t="str">
        <f t="shared" si="0"/>
        <v>007</v>
      </c>
      <c r="H51" t="str">
        <f t="shared" si="7"/>
        <v>1792535131001007</v>
      </c>
      <c r="J51" t="e">
        <f t="shared" si="4"/>
        <v>#N/A</v>
      </c>
      <c r="K51">
        <v>0</v>
      </c>
      <c r="L51" s="10" t="s">
        <v>279</v>
      </c>
      <c r="M51">
        <f t="shared" si="5"/>
        <v>54</v>
      </c>
      <c r="N51">
        <v>1</v>
      </c>
    </row>
    <row r="52" spans="1:14" x14ac:dyDescent="0.35">
      <c r="A52">
        <v>51</v>
      </c>
      <c r="B52" s="1" t="s">
        <v>49</v>
      </c>
      <c r="C52" s="2">
        <v>1791354419001</v>
      </c>
      <c r="D52" s="5">
        <v>14</v>
      </c>
      <c r="E52" s="2" t="s">
        <v>200</v>
      </c>
      <c r="F52" s="7" t="s">
        <v>204</v>
      </c>
      <c r="G52" t="str">
        <f t="shared" si="0"/>
        <v>014</v>
      </c>
      <c r="H52" t="str">
        <f t="shared" si="7"/>
        <v>1791354419001014</v>
      </c>
      <c r="J52" t="e">
        <f t="shared" si="4"/>
        <v>#N/A</v>
      </c>
      <c r="K52">
        <v>0</v>
      </c>
      <c r="L52" s="10" t="s">
        <v>280</v>
      </c>
      <c r="M52" t="e">
        <f t="shared" si="5"/>
        <v>#N/A</v>
      </c>
      <c r="N52">
        <v>0</v>
      </c>
    </row>
    <row r="53" spans="1:14" x14ac:dyDescent="0.35">
      <c r="A53">
        <v>52</v>
      </c>
      <c r="B53" s="1" t="s">
        <v>50</v>
      </c>
      <c r="C53" s="2">
        <v>1793143709001</v>
      </c>
      <c r="D53" s="5">
        <v>1</v>
      </c>
      <c r="E53" s="2" t="s">
        <v>201</v>
      </c>
      <c r="F53" s="7" t="s">
        <v>208</v>
      </c>
      <c r="G53" t="str">
        <f t="shared" si="0"/>
        <v>001</v>
      </c>
      <c r="H53" t="str">
        <f t="shared" si="7"/>
        <v>1793143709001001</v>
      </c>
      <c r="J53" t="e">
        <f t="shared" si="4"/>
        <v>#N/A</v>
      </c>
      <c r="K53">
        <v>0</v>
      </c>
      <c r="L53" s="10" t="s">
        <v>281</v>
      </c>
      <c r="M53" t="e">
        <f t="shared" si="5"/>
        <v>#N/A</v>
      </c>
      <c r="N53">
        <v>0</v>
      </c>
    </row>
    <row r="54" spans="1:14" x14ac:dyDescent="0.35">
      <c r="A54">
        <v>53</v>
      </c>
      <c r="B54" s="1" t="s">
        <v>51</v>
      </c>
      <c r="C54" s="2">
        <v>1792411203001</v>
      </c>
      <c r="D54" s="5">
        <v>11</v>
      </c>
      <c r="E54" s="2" t="s">
        <v>200</v>
      </c>
      <c r="F54" s="7" t="s">
        <v>208</v>
      </c>
      <c r="G54" t="str">
        <f t="shared" si="0"/>
        <v>011</v>
      </c>
      <c r="H54" t="str">
        <f t="shared" si="7"/>
        <v>1792411203001011</v>
      </c>
      <c r="J54" t="e">
        <f t="shared" si="4"/>
        <v>#N/A</v>
      </c>
      <c r="K54">
        <v>0</v>
      </c>
      <c r="L54" s="10" t="s">
        <v>282</v>
      </c>
      <c r="M54" t="e">
        <f t="shared" si="5"/>
        <v>#N/A</v>
      </c>
      <c r="N54">
        <v>0</v>
      </c>
    </row>
    <row r="55" spans="1:14" x14ac:dyDescent="0.35">
      <c r="A55">
        <v>54</v>
      </c>
      <c r="B55" s="1" t="s">
        <v>52</v>
      </c>
      <c r="C55" s="2">
        <v>990011214001</v>
      </c>
      <c r="D55" s="5">
        <v>32</v>
      </c>
      <c r="E55" s="2" t="s">
        <v>200</v>
      </c>
      <c r="F55" s="7" t="s">
        <v>204</v>
      </c>
      <c r="G55" t="str">
        <f t="shared" si="0"/>
        <v>032</v>
      </c>
      <c r="H55" t="str">
        <f t="shared" si="7"/>
        <v>990011214001032</v>
      </c>
      <c r="J55" t="e">
        <f t="shared" si="4"/>
        <v>#N/A</v>
      </c>
      <c r="K55">
        <v>0</v>
      </c>
      <c r="L55" s="10" t="s">
        <v>283</v>
      </c>
      <c r="M55">
        <f t="shared" si="5"/>
        <v>33</v>
      </c>
      <c r="N55">
        <v>1</v>
      </c>
    </row>
    <row r="56" spans="1:14" x14ac:dyDescent="0.35">
      <c r="A56">
        <v>55</v>
      </c>
      <c r="B56" s="1" t="s">
        <v>53</v>
      </c>
      <c r="C56" s="2">
        <v>1792468191001</v>
      </c>
      <c r="D56" s="5">
        <v>2</v>
      </c>
      <c r="E56" s="2" t="s">
        <v>200</v>
      </c>
      <c r="F56" s="7" t="s">
        <v>204</v>
      </c>
      <c r="G56" t="str">
        <f t="shared" si="0"/>
        <v>002</v>
      </c>
      <c r="H56" t="str">
        <f t="shared" si="7"/>
        <v>1792468191001002</v>
      </c>
      <c r="J56" t="e">
        <f t="shared" si="4"/>
        <v>#N/A</v>
      </c>
      <c r="K56">
        <v>0</v>
      </c>
      <c r="L56" s="10" t="s">
        <v>284</v>
      </c>
      <c r="M56" t="e">
        <f t="shared" si="5"/>
        <v>#N/A</v>
      </c>
      <c r="N56">
        <v>0</v>
      </c>
    </row>
    <row r="57" spans="1:14" x14ac:dyDescent="0.35">
      <c r="A57">
        <v>56</v>
      </c>
      <c r="B57" s="1" t="s">
        <v>54</v>
      </c>
      <c r="C57" s="2">
        <v>1793198242001</v>
      </c>
      <c r="D57" s="5">
        <v>3</v>
      </c>
      <c r="E57" s="2" t="s">
        <v>200</v>
      </c>
      <c r="F57" s="7" t="s">
        <v>214</v>
      </c>
      <c r="G57" t="str">
        <f t="shared" si="0"/>
        <v>003</v>
      </c>
      <c r="H57" t="str">
        <f t="shared" si="7"/>
        <v>1793198242001003</v>
      </c>
      <c r="J57">
        <f t="shared" si="4"/>
        <v>34</v>
      </c>
      <c r="K57">
        <v>1</v>
      </c>
      <c r="L57" s="10" t="s">
        <v>285</v>
      </c>
      <c r="M57">
        <f t="shared" si="5"/>
        <v>29</v>
      </c>
      <c r="N57">
        <v>1</v>
      </c>
    </row>
    <row r="58" spans="1:14" x14ac:dyDescent="0.35">
      <c r="A58">
        <v>57</v>
      </c>
      <c r="B58" s="1" t="s">
        <v>55</v>
      </c>
      <c r="C58" s="2">
        <v>1792241510001</v>
      </c>
      <c r="D58" s="5">
        <v>1</v>
      </c>
      <c r="E58" s="2" t="s">
        <v>200</v>
      </c>
      <c r="F58" s="7" t="s">
        <v>203</v>
      </c>
      <c r="G58" t="str">
        <f t="shared" si="0"/>
        <v>001</v>
      </c>
      <c r="H58" t="str">
        <f t="shared" si="7"/>
        <v>1792241510001001</v>
      </c>
      <c r="J58" t="e">
        <f t="shared" si="4"/>
        <v>#N/A</v>
      </c>
      <c r="K58">
        <v>0</v>
      </c>
      <c r="L58" s="10" t="s">
        <v>286</v>
      </c>
      <c r="M58" t="e">
        <f t="shared" si="5"/>
        <v>#N/A</v>
      </c>
      <c r="N58">
        <v>0</v>
      </c>
    </row>
    <row r="59" spans="1:14" x14ac:dyDescent="0.35">
      <c r="A59">
        <v>58</v>
      </c>
      <c r="B59" s="1" t="s">
        <v>56</v>
      </c>
      <c r="C59" s="3">
        <v>1790360741001</v>
      </c>
      <c r="D59" s="6">
        <v>7</v>
      </c>
      <c r="E59" s="2" t="s">
        <v>200</v>
      </c>
      <c r="F59" s="7" t="s">
        <v>203</v>
      </c>
      <c r="G59" t="str">
        <f t="shared" si="0"/>
        <v>007</v>
      </c>
      <c r="H59" t="str">
        <f t="shared" si="7"/>
        <v>1790360741001007</v>
      </c>
      <c r="J59" t="e">
        <f t="shared" si="4"/>
        <v>#N/A</v>
      </c>
      <c r="K59">
        <v>0</v>
      </c>
      <c r="L59" s="10" t="s">
        <v>287</v>
      </c>
      <c r="M59" t="e">
        <f t="shared" si="5"/>
        <v>#N/A</v>
      </c>
      <c r="N59">
        <v>0</v>
      </c>
    </row>
    <row r="60" spans="1:14" x14ac:dyDescent="0.35">
      <c r="A60">
        <v>59</v>
      </c>
      <c r="B60" s="1" t="s">
        <v>57</v>
      </c>
      <c r="C60" s="2">
        <v>1792302943001</v>
      </c>
      <c r="D60" s="5" t="s">
        <v>199</v>
      </c>
      <c r="E60" s="2" t="s">
        <v>200</v>
      </c>
      <c r="F60" s="7" t="s">
        <v>205</v>
      </c>
      <c r="G60" t="str">
        <f t="shared" si="0"/>
        <v>NO HAY</v>
      </c>
      <c r="J60" t="e">
        <f t="shared" si="4"/>
        <v>#N/A</v>
      </c>
      <c r="K60">
        <v>0</v>
      </c>
      <c r="L60" s="10" t="s">
        <v>288</v>
      </c>
      <c r="M60" t="e">
        <f t="shared" si="5"/>
        <v>#N/A</v>
      </c>
      <c r="N60">
        <v>0</v>
      </c>
    </row>
    <row r="61" spans="1:14" x14ac:dyDescent="0.35">
      <c r="A61">
        <v>60</v>
      </c>
      <c r="B61" s="1" t="s">
        <v>58</v>
      </c>
      <c r="C61" s="2">
        <v>1791931394001</v>
      </c>
      <c r="D61" s="5">
        <v>10</v>
      </c>
      <c r="E61" s="2" t="s">
        <v>200</v>
      </c>
      <c r="F61" s="7" t="s">
        <v>204</v>
      </c>
      <c r="G61" t="str">
        <f t="shared" si="0"/>
        <v>010</v>
      </c>
      <c r="H61" t="str">
        <f t="shared" ref="H61:H69" si="8">C61&amp;G61</f>
        <v>1791931394001010</v>
      </c>
      <c r="J61" t="e">
        <f t="shared" si="4"/>
        <v>#N/A</v>
      </c>
      <c r="K61">
        <v>0</v>
      </c>
      <c r="L61" s="10" t="s">
        <v>289</v>
      </c>
      <c r="M61" t="e">
        <f t="shared" si="5"/>
        <v>#N/A</v>
      </c>
      <c r="N61">
        <v>0</v>
      </c>
    </row>
    <row r="62" spans="1:14" x14ac:dyDescent="0.35">
      <c r="A62">
        <v>61</v>
      </c>
      <c r="B62" s="1" t="s">
        <v>59</v>
      </c>
      <c r="C62" s="2">
        <v>1792072018001</v>
      </c>
      <c r="D62" s="5">
        <v>184</v>
      </c>
      <c r="E62" s="2" t="s">
        <v>200</v>
      </c>
      <c r="F62" s="7" t="s">
        <v>206</v>
      </c>
      <c r="G62" t="str">
        <f t="shared" si="0"/>
        <v>184</v>
      </c>
      <c r="H62" t="str">
        <f t="shared" si="8"/>
        <v>1792072018001184</v>
      </c>
      <c r="J62" t="e">
        <f t="shared" si="4"/>
        <v>#N/A</v>
      </c>
      <c r="K62">
        <v>0</v>
      </c>
      <c r="L62" s="10" t="s">
        <v>245</v>
      </c>
      <c r="M62">
        <f t="shared" si="5"/>
        <v>50</v>
      </c>
      <c r="N62">
        <v>1</v>
      </c>
    </row>
    <row r="63" spans="1:14" x14ac:dyDescent="0.35">
      <c r="A63">
        <v>62</v>
      </c>
      <c r="B63" s="1" t="s">
        <v>60</v>
      </c>
      <c r="C63" s="2">
        <v>1792471486001</v>
      </c>
      <c r="D63" s="5">
        <v>6</v>
      </c>
      <c r="E63" s="2" t="s">
        <v>200</v>
      </c>
      <c r="F63" s="7" t="s">
        <v>206</v>
      </c>
      <c r="G63" t="str">
        <f t="shared" si="0"/>
        <v>006</v>
      </c>
      <c r="H63" t="str">
        <f t="shared" si="8"/>
        <v>1792471486001006</v>
      </c>
      <c r="J63" t="e">
        <f t="shared" si="4"/>
        <v>#N/A</v>
      </c>
      <c r="K63">
        <v>0</v>
      </c>
      <c r="M63" t="e">
        <f t="shared" si="5"/>
        <v>#N/A</v>
      </c>
      <c r="N63">
        <v>0</v>
      </c>
    </row>
    <row r="64" spans="1:14" x14ac:dyDescent="0.35">
      <c r="A64">
        <v>63</v>
      </c>
      <c r="B64" s="1" t="s">
        <v>61</v>
      </c>
      <c r="C64" s="2">
        <v>1790100421001</v>
      </c>
      <c r="D64" s="5">
        <v>7</v>
      </c>
      <c r="E64" s="2" t="s">
        <v>200</v>
      </c>
      <c r="F64" s="7" t="s">
        <v>204</v>
      </c>
      <c r="G64" t="str">
        <f t="shared" si="0"/>
        <v>007</v>
      </c>
      <c r="H64" t="str">
        <f t="shared" si="8"/>
        <v>1790100421001007</v>
      </c>
      <c r="J64" t="e">
        <f t="shared" si="4"/>
        <v>#N/A</v>
      </c>
      <c r="K64">
        <v>0</v>
      </c>
      <c r="M64" t="e">
        <f t="shared" si="5"/>
        <v>#N/A</v>
      </c>
      <c r="N64">
        <v>0</v>
      </c>
    </row>
    <row r="65" spans="1:14" x14ac:dyDescent="0.35">
      <c r="A65">
        <v>64</v>
      </c>
      <c r="B65" s="1" t="s">
        <v>62</v>
      </c>
      <c r="C65" s="2">
        <v>1792820790001</v>
      </c>
      <c r="D65" s="5">
        <v>3</v>
      </c>
      <c r="E65" s="2" t="s">
        <v>200</v>
      </c>
      <c r="F65" s="7" t="s">
        <v>212</v>
      </c>
      <c r="G65" t="str">
        <f t="shared" si="0"/>
        <v>003</v>
      </c>
      <c r="H65" t="str">
        <f t="shared" si="8"/>
        <v>1792820790001003</v>
      </c>
      <c r="J65" t="e">
        <f t="shared" si="4"/>
        <v>#N/A</v>
      </c>
      <c r="K65">
        <v>0</v>
      </c>
      <c r="M65">
        <f t="shared" si="5"/>
        <v>61</v>
      </c>
      <c r="N65">
        <v>1</v>
      </c>
    </row>
    <row r="66" spans="1:14" x14ac:dyDescent="0.35">
      <c r="A66">
        <v>65</v>
      </c>
      <c r="B66" s="1" t="s">
        <v>257</v>
      </c>
      <c r="C66" s="2">
        <v>1726913997001</v>
      </c>
      <c r="D66" s="5">
        <v>1</v>
      </c>
      <c r="E66" s="2" t="s">
        <v>200</v>
      </c>
      <c r="F66" s="7" t="s">
        <v>205</v>
      </c>
      <c r="G66" t="str">
        <f t="shared" si="0"/>
        <v>001</v>
      </c>
      <c r="H66" t="str">
        <f t="shared" si="8"/>
        <v>1726913997001001</v>
      </c>
      <c r="J66">
        <f t="shared" si="4"/>
        <v>9</v>
      </c>
      <c r="K66">
        <v>1</v>
      </c>
      <c r="M66" t="e">
        <f t="shared" si="5"/>
        <v>#N/A</v>
      </c>
      <c r="N66">
        <v>0</v>
      </c>
    </row>
    <row r="67" spans="1:14" x14ac:dyDescent="0.35">
      <c r="A67">
        <v>66</v>
      </c>
      <c r="B67" s="1" t="s">
        <v>63</v>
      </c>
      <c r="C67" s="2">
        <v>1707508972001</v>
      </c>
      <c r="D67" s="5">
        <v>13</v>
      </c>
      <c r="E67" s="2" t="s">
        <v>200</v>
      </c>
      <c r="F67" t="s">
        <v>203</v>
      </c>
      <c r="G67" t="str">
        <f t="shared" ref="G67:G131" si="9">TEXT(D67,"000")</f>
        <v>013</v>
      </c>
      <c r="H67" t="str">
        <f t="shared" si="8"/>
        <v>1707508972001013</v>
      </c>
      <c r="J67" t="e">
        <f t="shared" ref="J67:J131" si="10">MATCH(H67,$I$2:$I$36,0)</f>
        <v>#N/A</v>
      </c>
      <c r="K67">
        <v>0</v>
      </c>
      <c r="M67" t="e">
        <f t="shared" ref="M67:M131" si="11">MATCH(H67,$L$2:$L$62,0)</f>
        <v>#N/A</v>
      </c>
      <c r="N67">
        <v>0</v>
      </c>
    </row>
    <row r="68" spans="1:14" x14ac:dyDescent="0.35">
      <c r="A68">
        <v>67</v>
      </c>
      <c r="B68" s="1" t="s">
        <v>64</v>
      </c>
      <c r="C68" s="2">
        <v>905374310001</v>
      </c>
      <c r="D68" s="5">
        <v>5</v>
      </c>
      <c r="E68" s="2" t="s">
        <v>200</v>
      </c>
      <c r="F68" s="7" t="s">
        <v>204</v>
      </c>
      <c r="G68" t="str">
        <f t="shared" si="9"/>
        <v>005</v>
      </c>
      <c r="H68" t="str">
        <f t="shared" si="8"/>
        <v>905374310001005</v>
      </c>
      <c r="J68" t="e">
        <f t="shared" si="10"/>
        <v>#N/A</v>
      </c>
      <c r="K68">
        <v>0</v>
      </c>
      <c r="M68" t="e">
        <f t="shared" si="11"/>
        <v>#N/A</v>
      </c>
      <c r="N68">
        <v>0</v>
      </c>
    </row>
    <row r="69" spans="1:14" x14ac:dyDescent="0.35">
      <c r="A69">
        <v>68</v>
      </c>
      <c r="B69" s="1" t="s">
        <v>65</v>
      </c>
      <c r="C69" s="2">
        <v>1792072018001</v>
      </c>
      <c r="D69" s="5">
        <v>125</v>
      </c>
      <c r="E69" s="2" t="s">
        <v>200</v>
      </c>
      <c r="F69" s="7" t="s">
        <v>206</v>
      </c>
      <c r="G69" t="str">
        <f t="shared" si="9"/>
        <v>125</v>
      </c>
      <c r="H69" t="str">
        <f t="shared" si="8"/>
        <v>1792072018001125</v>
      </c>
      <c r="J69" t="e">
        <f t="shared" si="10"/>
        <v>#N/A</v>
      </c>
      <c r="K69">
        <v>0</v>
      </c>
      <c r="M69" t="e">
        <f t="shared" si="11"/>
        <v>#N/A</v>
      </c>
      <c r="N69">
        <v>0</v>
      </c>
    </row>
    <row r="70" spans="1:14" x14ac:dyDescent="0.35">
      <c r="A70">
        <v>69</v>
      </c>
      <c r="B70" s="1" t="s">
        <v>66</v>
      </c>
      <c r="C70" s="2">
        <v>1792972442001</v>
      </c>
      <c r="D70" s="5" t="s">
        <v>199</v>
      </c>
      <c r="E70" s="2" t="s">
        <v>200</v>
      </c>
      <c r="F70" s="7" t="s">
        <v>204</v>
      </c>
      <c r="G70" t="str">
        <f t="shared" si="9"/>
        <v>NO HAY</v>
      </c>
      <c r="J70" t="e">
        <f t="shared" si="10"/>
        <v>#N/A</v>
      </c>
      <c r="K70">
        <v>0</v>
      </c>
      <c r="M70" t="e">
        <f t="shared" si="11"/>
        <v>#N/A</v>
      </c>
      <c r="N70">
        <v>0</v>
      </c>
    </row>
    <row r="71" spans="1:14" x14ac:dyDescent="0.35">
      <c r="A71">
        <v>70</v>
      </c>
      <c r="B71" s="1" t="s">
        <v>67</v>
      </c>
      <c r="C71" s="2">
        <v>1708281389001</v>
      </c>
      <c r="D71" s="5">
        <v>4</v>
      </c>
      <c r="E71" s="2" t="s">
        <v>200</v>
      </c>
      <c r="F71" s="7" t="s">
        <v>206</v>
      </c>
      <c r="G71" t="str">
        <f t="shared" si="9"/>
        <v>004</v>
      </c>
      <c r="H71" t="str">
        <f t="shared" ref="H71:H90" si="12">C71&amp;G71</f>
        <v>1708281389001004</v>
      </c>
      <c r="J71" t="e">
        <f t="shared" si="10"/>
        <v>#N/A</v>
      </c>
      <c r="K71">
        <v>0</v>
      </c>
      <c r="M71" t="e">
        <f t="shared" si="11"/>
        <v>#N/A</v>
      </c>
      <c r="N71">
        <v>0</v>
      </c>
    </row>
    <row r="72" spans="1:14" x14ac:dyDescent="0.35">
      <c r="A72">
        <v>71</v>
      </c>
      <c r="B72" s="1" t="s">
        <v>68</v>
      </c>
      <c r="C72" s="2">
        <v>1792339928001</v>
      </c>
      <c r="D72" s="5">
        <v>2</v>
      </c>
      <c r="E72" s="2" t="s">
        <v>201</v>
      </c>
      <c r="F72" s="7" t="s">
        <v>214</v>
      </c>
      <c r="G72" t="str">
        <f t="shared" si="9"/>
        <v>002</v>
      </c>
      <c r="H72" t="str">
        <f t="shared" si="12"/>
        <v>1792339928001002</v>
      </c>
      <c r="J72" t="e">
        <f t="shared" si="10"/>
        <v>#N/A</v>
      </c>
      <c r="K72">
        <v>0</v>
      </c>
      <c r="M72" t="e">
        <f t="shared" si="11"/>
        <v>#N/A</v>
      </c>
      <c r="N72">
        <v>0</v>
      </c>
    </row>
    <row r="73" spans="1:14" x14ac:dyDescent="0.35">
      <c r="A73">
        <v>72</v>
      </c>
      <c r="B73" s="1" t="s">
        <v>69</v>
      </c>
      <c r="C73" s="2">
        <v>992472340001</v>
      </c>
      <c r="D73" s="5">
        <v>7</v>
      </c>
      <c r="E73" s="2" t="s">
        <v>200</v>
      </c>
      <c r="F73" s="7" t="s">
        <v>204</v>
      </c>
      <c r="G73" t="str">
        <f t="shared" si="9"/>
        <v>007</v>
      </c>
      <c r="H73" t="str">
        <f t="shared" si="12"/>
        <v>992472340001007</v>
      </c>
      <c r="J73" t="e">
        <f t="shared" si="10"/>
        <v>#N/A</v>
      </c>
      <c r="K73">
        <v>0</v>
      </c>
      <c r="M73" t="e">
        <f t="shared" si="11"/>
        <v>#N/A</v>
      </c>
      <c r="N73">
        <v>0</v>
      </c>
    </row>
    <row r="74" spans="1:14" x14ac:dyDescent="0.35">
      <c r="A74">
        <v>73</v>
      </c>
      <c r="B74" s="1" t="s">
        <v>70</v>
      </c>
      <c r="C74" s="2">
        <v>1790985504001</v>
      </c>
      <c r="D74" s="5">
        <v>23</v>
      </c>
      <c r="E74" s="2" t="s">
        <v>200</v>
      </c>
      <c r="F74" s="7" t="s">
        <v>204</v>
      </c>
      <c r="G74" t="str">
        <f t="shared" si="9"/>
        <v>023</v>
      </c>
      <c r="H74" t="str">
        <f t="shared" si="12"/>
        <v>1790985504001023</v>
      </c>
      <c r="J74" t="e">
        <f t="shared" si="10"/>
        <v>#N/A</v>
      </c>
      <c r="K74">
        <v>0</v>
      </c>
      <c r="M74">
        <f t="shared" si="11"/>
        <v>43</v>
      </c>
      <c r="N74">
        <v>1</v>
      </c>
    </row>
    <row r="75" spans="1:14" x14ac:dyDescent="0.35">
      <c r="A75">
        <v>74</v>
      </c>
      <c r="B75" s="1" t="s">
        <v>71</v>
      </c>
      <c r="C75" s="2">
        <v>990000530001</v>
      </c>
      <c r="D75" s="5">
        <v>81</v>
      </c>
      <c r="E75" s="2" t="s">
        <v>200</v>
      </c>
      <c r="F75" t="s">
        <v>208</v>
      </c>
      <c r="G75" t="str">
        <f t="shared" si="9"/>
        <v>081</v>
      </c>
      <c r="H75" t="str">
        <f t="shared" si="12"/>
        <v>990000530001081</v>
      </c>
      <c r="J75" t="e">
        <f t="shared" si="10"/>
        <v>#N/A</v>
      </c>
      <c r="K75">
        <v>0</v>
      </c>
      <c r="M75" t="e">
        <f t="shared" si="11"/>
        <v>#N/A</v>
      </c>
      <c r="N75">
        <v>0</v>
      </c>
    </row>
    <row r="76" spans="1:14" x14ac:dyDescent="0.35">
      <c r="A76">
        <v>75</v>
      </c>
      <c r="B76" s="1" t="s">
        <v>72</v>
      </c>
      <c r="C76" s="2">
        <v>1791413237001</v>
      </c>
      <c r="D76" s="5">
        <v>110</v>
      </c>
      <c r="E76" s="2" t="s">
        <v>201</v>
      </c>
      <c r="F76" s="7" t="s">
        <v>204</v>
      </c>
      <c r="G76" t="str">
        <f t="shared" si="9"/>
        <v>110</v>
      </c>
      <c r="H76" t="str">
        <f t="shared" si="12"/>
        <v>1791413237001110</v>
      </c>
      <c r="J76" t="e">
        <f t="shared" si="10"/>
        <v>#N/A</v>
      </c>
      <c r="K76">
        <v>0</v>
      </c>
      <c r="M76">
        <f t="shared" si="11"/>
        <v>48</v>
      </c>
      <c r="N76">
        <v>1</v>
      </c>
    </row>
    <row r="77" spans="1:14" x14ac:dyDescent="0.35">
      <c r="A77">
        <v>76</v>
      </c>
      <c r="B77" s="1" t="s">
        <v>73</v>
      </c>
      <c r="C77" s="2">
        <v>1792970393001</v>
      </c>
      <c r="D77" s="5">
        <v>3</v>
      </c>
      <c r="E77" s="2" t="s">
        <v>200</v>
      </c>
      <c r="F77" s="7" t="s">
        <v>208</v>
      </c>
      <c r="G77" t="str">
        <f t="shared" si="9"/>
        <v>003</v>
      </c>
      <c r="H77" t="str">
        <f t="shared" si="12"/>
        <v>1792970393001003</v>
      </c>
      <c r="J77" t="e">
        <f t="shared" si="10"/>
        <v>#N/A</v>
      </c>
      <c r="K77">
        <v>0</v>
      </c>
      <c r="M77" t="e">
        <f t="shared" si="11"/>
        <v>#N/A</v>
      </c>
      <c r="N77">
        <v>0</v>
      </c>
    </row>
    <row r="78" spans="1:14" x14ac:dyDescent="0.35">
      <c r="A78">
        <v>77</v>
      </c>
      <c r="B78" s="1" t="s">
        <v>74</v>
      </c>
      <c r="C78" s="2">
        <v>1791409167001</v>
      </c>
      <c r="D78" s="5">
        <v>3</v>
      </c>
      <c r="E78" s="2" t="s">
        <v>200</v>
      </c>
      <c r="F78" s="7" t="s">
        <v>208</v>
      </c>
      <c r="G78" t="str">
        <f t="shared" si="9"/>
        <v>003</v>
      </c>
      <c r="H78" t="str">
        <f t="shared" si="12"/>
        <v>1791409167001003</v>
      </c>
      <c r="J78" t="e">
        <f t="shared" si="10"/>
        <v>#N/A</v>
      </c>
      <c r="K78">
        <v>0</v>
      </c>
      <c r="M78" t="e">
        <f t="shared" si="11"/>
        <v>#N/A</v>
      </c>
      <c r="N78">
        <v>0</v>
      </c>
    </row>
    <row r="79" spans="1:14" x14ac:dyDescent="0.35">
      <c r="A79">
        <v>78</v>
      </c>
      <c r="B79" s="1" t="s">
        <v>75</v>
      </c>
      <c r="C79" s="2">
        <v>1712033966001</v>
      </c>
      <c r="D79" s="5">
        <v>4</v>
      </c>
      <c r="E79" s="2" t="s">
        <v>200</v>
      </c>
      <c r="F79" s="7" t="s">
        <v>208</v>
      </c>
      <c r="G79" t="str">
        <f t="shared" si="9"/>
        <v>004</v>
      </c>
      <c r="H79" t="str">
        <f t="shared" si="12"/>
        <v>1712033966001004</v>
      </c>
      <c r="J79" t="e">
        <f t="shared" si="10"/>
        <v>#N/A</v>
      </c>
      <c r="K79">
        <v>0</v>
      </c>
      <c r="M79" t="e">
        <f t="shared" si="11"/>
        <v>#N/A</v>
      </c>
      <c r="N79">
        <v>0</v>
      </c>
    </row>
    <row r="80" spans="1:14" x14ac:dyDescent="0.35">
      <c r="A80">
        <v>79</v>
      </c>
      <c r="B80" s="1" t="s">
        <v>76</v>
      </c>
      <c r="C80" s="2">
        <v>1792456851001</v>
      </c>
      <c r="D80" s="5">
        <v>16</v>
      </c>
      <c r="E80" s="2" t="s">
        <v>200</v>
      </c>
      <c r="F80" s="7" t="s">
        <v>204</v>
      </c>
      <c r="G80" t="str">
        <f t="shared" si="9"/>
        <v>016</v>
      </c>
      <c r="H80" t="str">
        <f t="shared" si="12"/>
        <v>1792456851001016</v>
      </c>
      <c r="J80" t="e">
        <f t="shared" si="10"/>
        <v>#N/A</v>
      </c>
      <c r="K80">
        <v>0</v>
      </c>
      <c r="M80" t="e">
        <f t="shared" si="11"/>
        <v>#N/A</v>
      </c>
      <c r="N80">
        <v>0</v>
      </c>
    </row>
    <row r="81" spans="1:14" x14ac:dyDescent="0.35">
      <c r="A81">
        <v>80</v>
      </c>
      <c r="B81" s="1" t="s">
        <v>77</v>
      </c>
      <c r="C81" s="4">
        <v>1700066598001</v>
      </c>
      <c r="D81" s="5">
        <v>5</v>
      </c>
      <c r="E81" s="2" t="s">
        <v>200</v>
      </c>
      <c r="F81" s="7" t="s">
        <v>203</v>
      </c>
      <c r="G81" t="str">
        <f t="shared" si="9"/>
        <v>005</v>
      </c>
      <c r="H81" t="str">
        <f t="shared" si="12"/>
        <v>1700066598001005</v>
      </c>
      <c r="J81" t="e">
        <f t="shared" si="10"/>
        <v>#N/A</v>
      </c>
      <c r="K81">
        <v>0</v>
      </c>
      <c r="M81">
        <f t="shared" si="11"/>
        <v>34</v>
      </c>
      <c r="N81">
        <v>1</v>
      </c>
    </row>
    <row r="82" spans="1:14" x14ac:dyDescent="0.35">
      <c r="A82">
        <v>81</v>
      </c>
      <c r="B82" s="1" t="s">
        <v>78</v>
      </c>
      <c r="C82" s="2">
        <v>1792459737001</v>
      </c>
      <c r="D82" s="5">
        <v>3</v>
      </c>
      <c r="E82" s="2" t="s">
        <v>200</v>
      </c>
      <c r="F82" s="7" t="s">
        <v>204</v>
      </c>
      <c r="G82" t="str">
        <f t="shared" si="9"/>
        <v>003</v>
      </c>
      <c r="H82" t="str">
        <f t="shared" si="12"/>
        <v>1792459737001003</v>
      </c>
      <c r="J82" t="e">
        <f t="shared" si="10"/>
        <v>#N/A</v>
      </c>
      <c r="K82">
        <v>0</v>
      </c>
      <c r="M82" t="e">
        <f t="shared" si="11"/>
        <v>#N/A</v>
      </c>
      <c r="N82">
        <v>0</v>
      </c>
    </row>
    <row r="83" spans="1:14" x14ac:dyDescent="0.35">
      <c r="A83">
        <v>82</v>
      </c>
      <c r="B83" s="1" t="s">
        <v>79</v>
      </c>
      <c r="C83" s="2">
        <v>1790027791001</v>
      </c>
      <c r="D83" s="5">
        <v>36</v>
      </c>
      <c r="E83" s="2" t="s">
        <v>200</v>
      </c>
      <c r="F83" s="7" t="s">
        <v>213</v>
      </c>
      <c r="G83" t="str">
        <f t="shared" si="9"/>
        <v>036</v>
      </c>
      <c r="H83" t="str">
        <f t="shared" si="12"/>
        <v>1790027791001036</v>
      </c>
      <c r="J83">
        <f t="shared" si="10"/>
        <v>10</v>
      </c>
      <c r="K83">
        <v>1</v>
      </c>
      <c r="M83">
        <f t="shared" si="11"/>
        <v>9</v>
      </c>
      <c r="N83">
        <v>1</v>
      </c>
    </row>
    <row r="84" spans="1:14" x14ac:dyDescent="0.35">
      <c r="A84">
        <v>83</v>
      </c>
      <c r="B84" s="1" t="s">
        <v>80</v>
      </c>
      <c r="C84" s="2">
        <v>1790710319001</v>
      </c>
      <c r="D84" s="5">
        <v>117</v>
      </c>
      <c r="E84" s="2" t="s">
        <v>200</v>
      </c>
      <c r="F84" s="7" t="s">
        <v>208</v>
      </c>
      <c r="G84" t="str">
        <f t="shared" si="9"/>
        <v>117</v>
      </c>
      <c r="H84" t="str">
        <f t="shared" si="12"/>
        <v>1790710319001117</v>
      </c>
      <c r="J84" t="e">
        <f t="shared" si="10"/>
        <v>#N/A</v>
      </c>
      <c r="K84">
        <v>0</v>
      </c>
      <c r="M84">
        <f t="shared" si="11"/>
        <v>40</v>
      </c>
      <c r="N84">
        <v>1</v>
      </c>
    </row>
    <row r="85" spans="1:14" x14ac:dyDescent="0.35">
      <c r="A85">
        <v>84</v>
      </c>
      <c r="B85" s="1" t="s">
        <v>81</v>
      </c>
      <c r="C85" s="2">
        <v>1793200125001</v>
      </c>
      <c r="D85" s="5">
        <v>3</v>
      </c>
      <c r="E85" s="2" t="s">
        <v>200</v>
      </c>
      <c r="F85" s="7" t="s">
        <v>206</v>
      </c>
      <c r="G85" t="str">
        <f t="shared" si="9"/>
        <v>003</v>
      </c>
      <c r="H85" t="str">
        <f t="shared" si="12"/>
        <v>1793200125001003</v>
      </c>
      <c r="J85" t="e">
        <f t="shared" si="10"/>
        <v>#N/A</v>
      </c>
      <c r="K85">
        <v>0</v>
      </c>
      <c r="M85">
        <f t="shared" si="11"/>
        <v>60</v>
      </c>
      <c r="N85">
        <v>1</v>
      </c>
    </row>
    <row r="86" spans="1:14" x14ac:dyDescent="0.35">
      <c r="A86">
        <v>85</v>
      </c>
      <c r="B86" s="1" t="s">
        <v>82</v>
      </c>
      <c r="C86" s="2">
        <v>1710119742001</v>
      </c>
      <c r="D86" s="5">
        <v>5</v>
      </c>
      <c r="E86" s="2" t="s">
        <v>200</v>
      </c>
      <c r="F86" s="7" t="s">
        <v>205</v>
      </c>
      <c r="G86" t="str">
        <f t="shared" si="9"/>
        <v>005</v>
      </c>
      <c r="H86" t="str">
        <f t="shared" si="12"/>
        <v>1710119742001005</v>
      </c>
      <c r="J86" t="e">
        <f t="shared" si="10"/>
        <v>#N/A</v>
      </c>
      <c r="K86">
        <v>0</v>
      </c>
      <c r="M86" t="e">
        <f t="shared" si="11"/>
        <v>#N/A</v>
      </c>
      <c r="N86">
        <v>0</v>
      </c>
    </row>
    <row r="87" spans="1:14" x14ac:dyDescent="0.35">
      <c r="A87">
        <v>86</v>
      </c>
      <c r="B87" s="1" t="s">
        <v>83</v>
      </c>
      <c r="C87" s="2">
        <v>1791738233001</v>
      </c>
      <c r="D87" s="5">
        <v>16</v>
      </c>
      <c r="E87" s="2" t="s">
        <v>200</v>
      </c>
      <c r="F87" s="7" t="s">
        <v>206</v>
      </c>
      <c r="G87" t="str">
        <f t="shared" si="9"/>
        <v>016</v>
      </c>
      <c r="H87" t="str">
        <f t="shared" si="12"/>
        <v>1791738233001016</v>
      </c>
      <c r="J87">
        <f t="shared" si="10"/>
        <v>18</v>
      </c>
      <c r="K87">
        <v>1</v>
      </c>
      <c r="M87">
        <f t="shared" si="11"/>
        <v>14</v>
      </c>
      <c r="N87">
        <v>1</v>
      </c>
    </row>
    <row r="88" spans="1:14" x14ac:dyDescent="0.35">
      <c r="A88">
        <v>87</v>
      </c>
      <c r="B88" s="1" t="s">
        <v>84</v>
      </c>
      <c r="C88" s="2">
        <v>1792135443001</v>
      </c>
      <c r="D88" s="5">
        <v>6</v>
      </c>
      <c r="E88" s="2" t="s">
        <v>200</v>
      </c>
      <c r="F88" s="7" t="s">
        <v>204</v>
      </c>
      <c r="G88" t="str">
        <f t="shared" si="9"/>
        <v>006</v>
      </c>
      <c r="H88" t="str">
        <f t="shared" si="12"/>
        <v>1792135443001006</v>
      </c>
      <c r="J88" t="e">
        <f t="shared" si="10"/>
        <v>#N/A</v>
      </c>
      <c r="K88">
        <v>0</v>
      </c>
      <c r="M88" t="e">
        <f t="shared" si="11"/>
        <v>#N/A</v>
      </c>
      <c r="N88">
        <v>0</v>
      </c>
    </row>
    <row r="89" spans="1:14" x14ac:dyDescent="0.35">
      <c r="A89">
        <v>88</v>
      </c>
      <c r="B89" s="1" t="s">
        <v>85</v>
      </c>
      <c r="C89" s="2">
        <v>1792072018001</v>
      </c>
      <c r="D89" s="5">
        <v>183</v>
      </c>
      <c r="E89" s="2" t="s">
        <v>200</v>
      </c>
      <c r="F89" s="7" t="s">
        <v>206</v>
      </c>
      <c r="G89" t="str">
        <f t="shared" si="9"/>
        <v>183</v>
      </c>
      <c r="H89" t="str">
        <f t="shared" si="12"/>
        <v>1792072018001183</v>
      </c>
      <c r="J89" t="e">
        <f t="shared" si="10"/>
        <v>#N/A</v>
      </c>
      <c r="K89">
        <v>0</v>
      </c>
      <c r="M89" t="e">
        <f t="shared" si="11"/>
        <v>#N/A</v>
      </c>
      <c r="N89">
        <v>0</v>
      </c>
    </row>
    <row r="90" spans="1:14" x14ac:dyDescent="0.35">
      <c r="A90">
        <v>89</v>
      </c>
      <c r="B90" s="1" t="s">
        <v>86</v>
      </c>
      <c r="C90" s="2">
        <v>102311594001</v>
      </c>
      <c r="D90" s="5">
        <v>16</v>
      </c>
      <c r="E90" s="2" t="s">
        <v>200</v>
      </c>
      <c r="F90" s="7" t="s">
        <v>213</v>
      </c>
      <c r="G90" t="str">
        <f t="shared" si="9"/>
        <v>016</v>
      </c>
      <c r="H90" t="str">
        <f t="shared" si="12"/>
        <v>102311594001016</v>
      </c>
      <c r="J90">
        <f t="shared" si="10"/>
        <v>1</v>
      </c>
      <c r="K90">
        <v>1</v>
      </c>
      <c r="M90">
        <f t="shared" si="11"/>
        <v>1</v>
      </c>
      <c r="N90">
        <v>1</v>
      </c>
    </row>
    <row r="91" spans="1:14" x14ac:dyDescent="0.35">
      <c r="A91">
        <v>90</v>
      </c>
      <c r="B91" s="1" t="s">
        <v>87</v>
      </c>
      <c r="C91" s="2">
        <v>1711193951001</v>
      </c>
      <c r="D91" s="5" t="s">
        <v>199</v>
      </c>
      <c r="E91" s="2" t="s">
        <v>200</v>
      </c>
      <c r="F91" s="7" t="s">
        <v>213</v>
      </c>
      <c r="G91" t="str">
        <f t="shared" si="9"/>
        <v>NO HAY</v>
      </c>
      <c r="J91" t="e">
        <f t="shared" si="10"/>
        <v>#N/A</v>
      </c>
      <c r="K91">
        <v>0</v>
      </c>
      <c r="M91" t="e">
        <f t="shared" si="11"/>
        <v>#N/A</v>
      </c>
      <c r="N91">
        <v>0</v>
      </c>
    </row>
    <row r="92" spans="1:14" x14ac:dyDescent="0.35">
      <c r="A92">
        <v>91</v>
      </c>
      <c r="B92" s="1" t="s">
        <v>88</v>
      </c>
      <c r="C92" s="2">
        <v>1792141486001</v>
      </c>
      <c r="D92" s="5">
        <v>29</v>
      </c>
      <c r="E92" s="2" t="s">
        <v>200</v>
      </c>
      <c r="F92" s="7" t="s">
        <v>206</v>
      </c>
      <c r="G92" t="str">
        <f t="shared" si="9"/>
        <v>029</v>
      </c>
      <c r="H92" t="str">
        <f t="shared" ref="H92:H98" si="13">C92&amp;G92</f>
        <v>1792141486001029</v>
      </c>
      <c r="J92" t="e">
        <f t="shared" si="10"/>
        <v>#N/A</v>
      </c>
      <c r="K92">
        <v>0</v>
      </c>
      <c r="M92">
        <f t="shared" si="11"/>
        <v>51</v>
      </c>
      <c r="N92">
        <v>1</v>
      </c>
    </row>
    <row r="93" spans="1:14" x14ac:dyDescent="0.35">
      <c r="A93">
        <v>92</v>
      </c>
      <c r="B93" s="1" t="s">
        <v>89</v>
      </c>
      <c r="C93" s="2">
        <v>1790016919001</v>
      </c>
      <c r="D93" s="5">
        <v>140</v>
      </c>
      <c r="E93" s="2" t="s">
        <v>200</v>
      </c>
      <c r="F93" s="7" t="s">
        <v>214</v>
      </c>
      <c r="G93" t="str">
        <f t="shared" si="9"/>
        <v>140</v>
      </c>
      <c r="H93" t="str">
        <f t="shared" si="13"/>
        <v>1790016919001140</v>
      </c>
      <c r="J93" t="e">
        <f t="shared" si="10"/>
        <v>#N/A</v>
      </c>
      <c r="K93">
        <v>0</v>
      </c>
      <c r="M93">
        <f t="shared" si="11"/>
        <v>37</v>
      </c>
      <c r="N93">
        <v>1</v>
      </c>
    </row>
    <row r="94" spans="1:14" x14ac:dyDescent="0.35">
      <c r="A94">
        <v>93</v>
      </c>
      <c r="B94" s="1" t="s">
        <v>90</v>
      </c>
      <c r="C94" s="2">
        <v>1792190851001</v>
      </c>
      <c r="D94" s="5">
        <v>11</v>
      </c>
      <c r="E94" s="2" t="s">
        <v>200</v>
      </c>
      <c r="F94" s="7" t="s">
        <v>209</v>
      </c>
      <c r="G94" t="str">
        <f t="shared" si="9"/>
        <v>011</v>
      </c>
      <c r="H94" t="str">
        <f t="shared" si="13"/>
        <v>1792190851001011</v>
      </c>
      <c r="J94">
        <f t="shared" si="10"/>
        <v>27</v>
      </c>
      <c r="K94">
        <v>1</v>
      </c>
      <c r="M94">
        <f t="shared" si="11"/>
        <v>22</v>
      </c>
      <c r="N94">
        <v>1</v>
      </c>
    </row>
    <row r="95" spans="1:14" x14ac:dyDescent="0.35">
      <c r="A95">
        <v>94</v>
      </c>
      <c r="B95" s="1" t="s">
        <v>91</v>
      </c>
      <c r="C95" s="2">
        <v>1791415132001</v>
      </c>
      <c r="D95" s="5">
        <v>157</v>
      </c>
      <c r="E95" s="2" t="s">
        <v>200</v>
      </c>
      <c r="F95" s="7" t="s">
        <v>206</v>
      </c>
      <c r="G95" t="str">
        <f t="shared" si="9"/>
        <v>157</v>
      </c>
      <c r="H95" t="str">
        <f t="shared" si="13"/>
        <v>1791415132001157</v>
      </c>
      <c r="J95" t="e">
        <f t="shared" si="10"/>
        <v>#N/A</v>
      </c>
      <c r="K95">
        <v>0</v>
      </c>
      <c r="M95">
        <f t="shared" si="11"/>
        <v>49</v>
      </c>
      <c r="N95">
        <v>1</v>
      </c>
    </row>
    <row r="96" spans="1:14" x14ac:dyDescent="0.35">
      <c r="A96">
        <v>95</v>
      </c>
      <c r="B96" s="1" t="s">
        <v>92</v>
      </c>
      <c r="C96" s="2">
        <v>1791940105001</v>
      </c>
      <c r="D96" s="5">
        <v>15</v>
      </c>
      <c r="E96" s="2" t="s">
        <v>200</v>
      </c>
      <c r="F96" s="7" t="s">
        <v>204</v>
      </c>
      <c r="G96" t="str">
        <f t="shared" si="9"/>
        <v>015</v>
      </c>
      <c r="H96" t="str">
        <f t="shared" si="13"/>
        <v>1791940105001015</v>
      </c>
      <c r="J96" t="e">
        <f t="shared" si="10"/>
        <v>#N/A</v>
      </c>
      <c r="K96">
        <v>0</v>
      </c>
      <c r="M96" t="e">
        <f t="shared" si="11"/>
        <v>#N/A</v>
      </c>
      <c r="N96">
        <v>0</v>
      </c>
    </row>
    <row r="97" spans="1:14" x14ac:dyDescent="0.35">
      <c r="A97">
        <v>96</v>
      </c>
      <c r="B97" s="1" t="s">
        <v>93</v>
      </c>
      <c r="C97" s="2">
        <v>1705024865001</v>
      </c>
      <c r="D97" s="5">
        <v>3</v>
      </c>
      <c r="E97" s="2" t="s">
        <v>200</v>
      </c>
      <c r="F97" s="7" t="s">
        <v>204</v>
      </c>
      <c r="G97" t="str">
        <f t="shared" si="9"/>
        <v>003</v>
      </c>
      <c r="H97" t="str">
        <f t="shared" si="13"/>
        <v>1705024865001003</v>
      </c>
      <c r="J97" t="e">
        <f t="shared" si="10"/>
        <v>#N/A</v>
      </c>
      <c r="K97">
        <v>0</v>
      </c>
      <c r="M97" t="e">
        <f t="shared" si="11"/>
        <v>#N/A</v>
      </c>
      <c r="N97">
        <v>0</v>
      </c>
    </row>
    <row r="98" spans="1:14" x14ac:dyDescent="0.35">
      <c r="A98">
        <v>97</v>
      </c>
      <c r="B98" s="1" t="s">
        <v>94</v>
      </c>
      <c r="C98" s="2">
        <v>1790236218001</v>
      </c>
      <c r="D98" s="5">
        <v>82</v>
      </c>
      <c r="E98" s="2" t="s">
        <v>200</v>
      </c>
      <c r="F98" s="7" t="s">
        <v>205</v>
      </c>
      <c r="G98" t="str">
        <f t="shared" si="9"/>
        <v>082</v>
      </c>
      <c r="H98" t="str">
        <f t="shared" si="13"/>
        <v>1790236218001082</v>
      </c>
      <c r="J98" t="e">
        <f t="shared" si="10"/>
        <v>#N/A</v>
      </c>
      <c r="K98">
        <v>0</v>
      </c>
      <c r="M98">
        <f t="shared" si="11"/>
        <v>38</v>
      </c>
      <c r="N98">
        <v>1</v>
      </c>
    </row>
    <row r="99" spans="1:14" x14ac:dyDescent="0.35">
      <c r="A99">
        <v>98</v>
      </c>
      <c r="B99" s="1" t="s">
        <v>95</v>
      </c>
      <c r="C99" s="2">
        <v>1712512597001</v>
      </c>
      <c r="D99" s="5" t="s">
        <v>199</v>
      </c>
      <c r="E99" s="2" t="s">
        <v>200</v>
      </c>
      <c r="F99" s="7" t="s">
        <v>203</v>
      </c>
      <c r="G99" t="str">
        <f t="shared" si="9"/>
        <v>NO HAY</v>
      </c>
      <c r="J99" t="e">
        <f t="shared" si="10"/>
        <v>#N/A</v>
      </c>
      <c r="K99">
        <v>0</v>
      </c>
      <c r="M99" t="e">
        <f t="shared" si="11"/>
        <v>#N/A</v>
      </c>
      <c r="N99">
        <v>0</v>
      </c>
    </row>
    <row r="100" spans="1:14" x14ac:dyDescent="0.35">
      <c r="A100">
        <v>99</v>
      </c>
      <c r="B100" s="1" t="s">
        <v>96</v>
      </c>
      <c r="C100" s="2">
        <v>1792539501001</v>
      </c>
      <c r="D100" s="5">
        <v>3</v>
      </c>
      <c r="E100" s="2" t="s">
        <v>200</v>
      </c>
      <c r="F100" s="7" t="s">
        <v>206</v>
      </c>
      <c r="G100" t="str">
        <f t="shared" si="9"/>
        <v>003</v>
      </c>
      <c r="H100" t="str">
        <f t="shared" ref="H100:H108" si="14">C100&amp;G100</f>
        <v>1792539501001003</v>
      </c>
      <c r="J100" t="e">
        <f t="shared" si="10"/>
        <v>#N/A</v>
      </c>
      <c r="K100">
        <v>0</v>
      </c>
      <c r="M100" t="e">
        <f t="shared" si="11"/>
        <v>#N/A</v>
      </c>
      <c r="N100">
        <v>0</v>
      </c>
    </row>
    <row r="101" spans="1:14" x14ac:dyDescent="0.35">
      <c r="A101">
        <v>100</v>
      </c>
      <c r="B101" s="1" t="s">
        <v>97</v>
      </c>
      <c r="C101" s="2">
        <v>190111881001</v>
      </c>
      <c r="D101" s="5">
        <v>76</v>
      </c>
      <c r="E101" s="2" t="s">
        <v>200</v>
      </c>
      <c r="F101" s="7" t="s">
        <v>208</v>
      </c>
      <c r="G101" t="str">
        <f t="shared" si="9"/>
        <v>076</v>
      </c>
      <c r="H101" t="str">
        <f t="shared" si="14"/>
        <v>190111881001076</v>
      </c>
      <c r="J101" t="e">
        <f t="shared" si="10"/>
        <v>#N/A</v>
      </c>
      <c r="K101">
        <v>0</v>
      </c>
      <c r="M101">
        <f t="shared" si="11"/>
        <v>32</v>
      </c>
      <c r="N101">
        <v>1</v>
      </c>
    </row>
    <row r="102" spans="1:14" x14ac:dyDescent="0.35">
      <c r="A102">
        <v>101</v>
      </c>
      <c r="B102" s="1" t="s">
        <v>98</v>
      </c>
      <c r="C102" s="2">
        <v>1790994708001</v>
      </c>
      <c r="D102" s="5">
        <v>37</v>
      </c>
      <c r="E102" s="2" t="s">
        <v>200</v>
      </c>
      <c r="F102" s="7" t="s">
        <v>204</v>
      </c>
      <c r="G102" t="str">
        <f t="shared" si="9"/>
        <v>037</v>
      </c>
      <c r="H102" t="str">
        <f t="shared" si="14"/>
        <v>1790994708001037</v>
      </c>
      <c r="J102">
        <f t="shared" si="10"/>
        <v>14</v>
      </c>
      <c r="K102">
        <v>1</v>
      </c>
      <c r="M102">
        <f t="shared" si="11"/>
        <v>11</v>
      </c>
      <c r="N102">
        <v>1</v>
      </c>
    </row>
    <row r="103" spans="1:14" x14ac:dyDescent="0.35">
      <c r="A103">
        <v>102</v>
      </c>
      <c r="B103" s="1" t="s">
        <v>99</v>
      </c>
      <c r="C103" s="2">
        <v>1791361407001</v>
      </c>
      <c r="D103" s="5">
        <v>7</v>
      </c>
      <c r="E103" s="2" t="s">
        <v>200</v>
      </c>
      <c r="F103" s="7" t="s">
        <v>203</v>
      </c>
      <c r="G103" t="str">
        <f t="shared" si="9"/>
        <v>007</v>
      </c>
      <c r="H103" t="str">
        <f t="shared" si="14"/>
        <v>1791361407001007</v>
      </c>
      <c r="J103" t="e">
        <f t="shared" si="10"/>
        <v>#N/A</v>
      </c>
      <c r="K103">
        <v>0</v>
      </c>
      <c r="M103">
        <f t="shared" si="11"/>
        <v>46</v>
      </c>
      <c r="N103">
        <v>1</v>
      </c>
    </row>
    <row r="104" spans="1:14" x14ac:dyDescent="0.35">
      <c r="A104">
        <v>103</v>
      </c>
      <c r="B104" s="1" t="s">
        <v>100</v>
      </c>
      <c r="C104" s="2">
        <v>1791836979001</v>
      </c>
      <c r="D104" s="5">
        <v>33</v>
      </c>
      <c r="E104" s="2" t="s">
        <v>200</v>
      </c>
      <c r="F104" s="7" t="s">
        <v>204</v>
      </c>
      <c r="G104" t="str">
        <f t="shared" si="9"/>
        <v>033</v>
      </c>
      <c r="H104" t="str">
        <f t="shared" si="14"/>
        <v>1791836979001033</v>
      </c>
      <c r="J104" t="e">
        <f t="shared" si="10"/>
        <v>#N/A</v>
      </c>
      <c r="K104">
        <v>0</v>
      </c>
      <c r="M104" t="e">
        <f t="shared" si="11"/>
        <v>#N/A</v>
      </c>
      <c r="N104">
        <v>0</v>
      </c>
    </row>
    <row r="105" spans="1:14" x14ac:dyDescent="0.35">
      <c r="A105">
        <v>104</v>
      </c>
      <c r="B105" s="1" t="s">
        <v>101</v>
      </c>
      <c r="C105" s="2">
        <v>1791870247001</v>
      </c>
      <c r="D105" s="5">
        <v>9</v>
      </c>
      <c r="E105" s="2" t="s">
        <v>200</v>
      </c>
      <c r="F105" s="7" t="s">
        <v>208</v>
      </c>
      <c r="G105" t="str">
        <f t="shared" si="9"/>
        <v>009</v>
      </c>
      <c r="H105" t="str">
        <f t="shared" si="14"/>
        <v>1791870247001009</v>
      </c>
      <c r="J105" t="e">
        <f t="shared" si="10"/>
        <v>#N/A</v>
      </c>
      <c r="K105">
        <v>0</v>
      </c>
      <c r="M105" t="e">
        <f t="shared" si="11"/>
        <v>#N/A</v>
      </c>
      <c r="N105">
        <v>0</v>
      </c>
    </row>
    <row r="106" spans="1:14" x14ac:dyDescent="0.35">
      <c r="A106">
        <v>105</v>
      </c>
      <c r="B106" s="1" t="s">
        <v>102</v>
      </c>
      <c r="C106" s="2">
        <v>1792642183001</v>
      </c>
      <c r="D106" s="5">
        <v>1</v>
      </c>
      <c r="E106" s="2" t="s">
        <v>200</v>
      </c>
      <c r="F106" s="7" t="s">
        <v>206</v>
      </c>
      <c r="G106" t="str">
        <f t="shared" si="9"/>
        <v>001</v>
      </c>
      <c r="H106" t="str">
        <f t="shared" si="14"/>
        <v>1792642183001001</v>
      </c>
      <c r="J106" t="e">
        <f t="shared" si="10"/>
        <v>#N/A</v>
      </c>
      <c r="K106">
        <v>0</v>
      </c>
      <c r="M106">
        <f t="shared" si="11"/>
        <v>55</v>
      </c>
      <c r="N106">
        <v>1</v>
      </c>
    </row>
    <row r="107" spans="1:14" x14ac:dyDescent="0.35">
      <c r="A107">
        <v>106</v>
      </c>
      <c r="B107" s="1" t="s">
        <v>103</v>
      </c>
      <c r="C107" s="2">
        <v>1792584140001</v>
      </c>
      <c r="D107" s="5">
        <v>3</v>
      </c>
      <c r="E107" s="2" t="s">
        <v>200</v>
      </c>
      <c r="F107" s="7" t="s">
        <v>208</v>
      </c>
      <c r="G107" t="str">
        <f t="shared" si="9"/>
        <v>003</v>
      </c>
      <c r="H107" t="str">
        <f t="shared" si="14"/>
        <v>1792584140001003</v>
      </c>
      <c r="J107" t="e">
        <f t="shared" si="10"/>
        <v>#N/A</v>
      </c>
      <c r="K107">
        <v>0</v>
      </c>
      <c r="M107" t="e">
        <f t="shared" si="11"/>
        <v>#N/A</v>
      </c>
      <c r="N107">
        <v>0</v>
      </c>
    </row>
    <row r="108" spans="1:14" x14ac:dyDescent="0.35">
      <c r="A108">
        <v>107</v>
      </c>
      <c r="B108" s="1" t="s">
        <v>104</v>
      </c>
      <c r="C108" s="2">
        <v>1792278791001</v>
      </c>
      <c r="D108" s="5">
        <v>22</v>
      </c>
      <c r="E108" s="2" t="s">
        <v>200</v>
      </c>
      <c r="F108" s="7" t="s">
        <v>204</v>
      </c>
      <c r="G108" t="str">
        <f t="shared" si="9"/>
        <v>022</v>
      </c>
      <c r="H108" t="str">
        <f t="shared" si="14"/>
        <v>1792278791001022</v>
      </c>
      <c r="J108" t="e">
        <f t="shared" si="10"/>
        <v>#N/A</v>
      </c>
      <c r="K108">
        <v>0</v>
      </c>
      <c r="M108" t="e">
        <f t="shared" si="11"/>
        <v>#N/A</v>
      </c>
      <c r="N108">
        <v>0</v>
      </c>
    </row>
    <row r="109" spans="1:14" x14ac:dyDescent="0.35">
      <c r="A109">
        <v>108</v>
      </c>
      <c r="B109" s="1" t="s">
        <v>105</v>
      </c>
      <c r="C109" s="2">
        <v>1792539501001</v>
      </c>
      <c r="D109" s="5" t="s">
        <v>199</v>
      </c>
      <c r="E109" s="2" t="s">
        <v>200</v>
      </c>
      <c r="F109" s="7" t="s">
        <v>207</v>
      </c>
      <c r="G109" t="str">
        <f t="shared" si="9"/>
        <v>NO HAY</v>
      </c>
      <c r="J109" t="e">
        <f t="shared" si="10"/>
        <v>#N/A</v>
      </c>
      <c r="K109">
        <v>0</v>
      </c>
      <c r="M109" t="e">
        <f t="shared" si="11"/>
        <v>#N/A</v>
      </c>
      <c r="N109">
        <v>0</v>
      </c>
    </row>
    <row r="110" spans="1:14" x14ac:dyDescent="0.35">
      <c r="A110">
        <v>109</v>
      </c>
      <c r="B110" s="1" t="s">
        <v>106</v>
      </c>
      <c r="C110" s="2">
        <v>1791771117001</v>
      </c>
      <c r="D110" s="5">
        <v>1</v>
      </c>
      <c r="E110" s="2" t="s">
        <v>200</v>
      </c>
      <c r="F110" s="7" t="s">
        <v>207</v>
      </c>
      <c r="G110" t="str">
        <f t="shared" si="9"/>
        <v>001</v>
      </c>
      <c r="H110" t="str">
        <f t="shared" ref="H110:H117" si="15">C110&amp;G110</f>
        <v>1791771117001001</v>
      </c>
      <c r="J110" t="e">
        <f t="shared" si="10"/>
        <v>#N/A</v>
      </c>
      <c r="K110">
        <v>0</v>
      </c>
      <c r="M110" t="e">
        <f t="shared" si="11"/>
        <v>#N/A</v>
      </c>
      <c r="N110">
        <v>0</v>
      </c>
    </row>
    <row r="111" spans="1:14" x14ac:dyDescent="0.35">
      <c r="A111">
        <v>110</v>
      </c>
      <c r="B111" s="1" t="s">
        <v>107</v>
      </c>
      <c r="C111" s="2">
        <v>1791413237001</v>
      </c>
      <c r="D111" s="5">
        <v>85</v>
      </c>
      <c r="E111" s="2" t="s">
        <v>200</v>
      </c>
      <c r="F111" s="7" t="s">
        <v>209</v>
      </c>
      <c r="G111" t="str">
        <f t="shared" si="9"/>
        <v>085</v>
      </c>
      <c r="H111" t="str">
        <f t="shared" si="15"/>
        <v>1791413237001085</v>
      </c>
      <c r="J111" t="e">
        <f t="shared" si="10"/>
        <v>#N/A</v>
      </c>
      <c r="K111">
        <v>0</v>
      </c>
      <c r="M111">
        <f t="shared" si="11"/>
        <v>47</v>
      </c>
      <c r="N111">
        <v>1</v>
      </c>
    </row>
    <row r="112" spans="1:14" x14ac:dyDescent="0.35">
      <c r="A112">
        <v>111</v>
      </c>
      <c r="B112" s="1" t="s">
        <v>108</v>
      </c>
      <c r="C112" s="2">
        <v>1790397815001</v>
      </c>
      <c r="D112" s="5">
        <v>198</v>
      </c>
      <c r="E112" s="2" t="s">
        <v>200</v>
      </c>
      <c r="F112" s="7" t="s">
        <v>207</v>
      </c>
      <c r="G112" t="str">
        <f t="shared" si="9"/>
        <v>198</v>
      </c>
      <c r="H112" t="str">
        <f t="shared" si="15"/>
        <v>1790397815001198</v>
      </c>
      <c r="J112" t="e">
        <f t="shared" si="10"/>
        <v>#N/A</v>
      </c>
      <c r="K112">
        <v>0</v>
      </c>
      <c r="M112" t="e">
        <f t="shared" si="11"/>
        <v>#N/A</v>
      </c>
      <c r="N112">
        <v>0</v>
      </c>
    </row>
    <row r="113" spans="1:14" x14ac:dyDescent="0.35">
      <c r="A113">
        <v>112</v>
      </c>
      <c r="B113" s="1" t="s">
        <v>109</v>
      </c>
      <c r="C113" s="4">
        <v>1714997879001</v>
      </c>
      <c r="D113" s="5">
        <v>7</v>
      </c>
      <c r="E113" s="2" t="s">
        <v>200</v>
      </c>
      <c r="F113" s="7" t="s">
        <v>207</v>
      </c>
      <c r="G113" t="str">
        <f t="shared" si="9"/>
        <v>007</v>
      </c>
      <c r="H113" t="str">
        <f t="shared" si="15"/>
        <v>1714997879001007</v>
      </c>
      <c r="J113" t="e">
        <f t="shared" si="10"/>
        <v>#N/A</v>
      </c>
      <c r="K113">
        <v>0</v>
      </c>
      <c r="M113" t="e">
        <f t="shared" si="11"/>
        <v>#N/A</v>
      </c>
      <c r="N113">
        <v>0</v>
      </c>
    </row>
    <row r="114" spans="1:14" x14ac:dyDescent="0.35">
      <c r="A114">
        <v>113</v>
      </c>
      <c r="B114" s="1" t="s">
        <v>110</v>
      </c>
      <c r="C114" s="2">
        <v>1791284321001</v>
      </c>
      <c r="D114" s="5">
        <v>23</v>
      </c>
      <c r="E114" s="2" t="s">
        <v>200</v>
      </c>
      <c r="F114" s="7" t="s">
        <v>205</v>
      </c>
      <c r="G114" t="str">
        <f t="shared" si="9"/>
        <v>023</v>
      </c>
      <c r="H114" t="str">
        <f t="shared" si="15"/>
        <v>1791284321001023</v>
      </c>
      <c r="J114">
        <f t="shared" si="10"/>
        <v>16</v>
      </c>
      <c r="K114">
        <v>1</v>
      </c>
      <c r="M114">
        <f t="shared" si="11"/>
        <v>12</v>
      </c>
      <c r="N114">
        <v>1</v>
      </c>
    </row>
    <row r="115" spans="1:14" x14ac:dyDescent="0.35">
      <c r="A115">
        <v>114</v>
      </c>
      <c r="B115" s="1" t="s">
        <v>111</v>
      </c>
      <c r="C115" s="2">
        <v>1792003881001</v>
      </c>
      <c r="D115" s="5">
        <v>43</v>
      </c>
      <c r="E115" s="2" t="s">
        <v>200</v>
      </c>
      <c r="F115" s="7" t="s">
        <v>206</v>
      </c>
      <c r="G115" t="str">
        <f t="shared" si="9"/>
        <v>043</v>
      </c>
      <c r="H115" t="str">
        <f t="shared" si="15"/>
        <v>1792003881001043</v>
      </c>
      <c r="J115">
        <f t="shared" si="10"/>
        <v>24</v>
      </c>
      <c r="K115">
        <v>1</v>
      </c>
      <c r="M115">
        <f t="shared" si="11"/>
        <v>19</v>
      </c>
      <c r="N115">
        <v>1</v>
      </c>
    </row>
    <row r="116" spans="1:14" ht="13.25" customHeight="1" x14ac:dyDescent="0.35">
      <c r="A116">
        <v>115</v>
      </c>
      <c r="B116" s="1" t="s">
        <v>296</v>
      </c>
      <c r="C116" s="2">
        <v>1791308832001</v>
      </c>
      <c r="D116" s="5">
        <v>10</v>
      </c>
      <c r="E116" s="2" t="s">
        <v>200</v>
      </c>
      <c r="F116" s="7" t="s">
        <v>206</v>
      </c>
      <c r="G116" t="str">
        <f t="shared" si="9"/>
        <v>010</v>
      </c>
      <c r="H116" t="str">
        <f t="shared" si="15"/>
        <v>1791308832001010</v>
      </c>
      <c r="J116" t="e">
        <f t="shared" si="10"/>
        <v>#N/A</v>
      </c>
      <c r="K116">
        <v>0</v>
      </c>
      <c r="M116">
        <f t="shared" si="11"/>
        <v>44</v>
      </c>
      <c r="N116">
        <v>1</v>
      </c>
    </row>
    <row r="117" spans="1:14" x14ac:dyDescent="0.35">
      <c r="A117">
        <v>116</v>
      </c>
      <c r="B117" s="1" t="s">
        <v>297</v>
      </c>
      <c r="C117" s="2">
        <v>1791308832001</v>
      </c>
      <c r="D117" s="5">
        <v>40</v>
      </c>
      <c r="E117" s="2" t="s">
        <v>200</v>
      </c>
      <c r="F117" s="7" t="s">
        <v>206</v>
      </c>
      <c r="G117" t="str">
        <f t="shared" si="9"/>
        <v>040</v>
      </c>
      <c r="H117" t="str">
        <f t="shared" si="15"/>
        <v>1791308832001040</v>
      </c>
      <c r="J117" t="e">
        <f t="shared" si="10"/>
        <v>#N/A</v>
      </c>
      <c r="K117">
        <v>0</v>
      </c>
      <c r="M117" t="e">
        <f t="shared" si="11"/>
        <v>#N/A</v>
      </c>
      <c r="N117">
        <v>0</v>
      </c>
    </row>
    <row r="118" spans="1:14" x14ac:dyDescent="0.35">
      <c r="A118">
        <v>116</v>
      </c>
      <c r="B118" s="1" t="s">
        <v>298</v>
      </c>
      <c r="C118" s="2">
        <v>1791308832001</v>
      </c>
      <c r="D118" s="5">
        <v>42</v>
      </c>
      <c r="E118" s="2" t="s">
        <v>200</v>
      </c>
      <c r="F118" s="7" t="s">
        <v>206</v>
      </c>
      <c r="G118" t="str">
        <f t="shared" ref="G118" si="16">TEXT(D118,"000")</f>
        <v>042</v>
      </c>
      <c r="H118" t="str">
        <f t="shared" ref="H118" si="17">C118&amp;G118</f>
        <v>1791308832001042</v>
      </c>
    </row>
    <row r="119" spans="1:14" x14ac:dyDescent="0.35">
      <c r="A119">
        <v>117</v>
      </c>
      <c r="B119" s="1" t="s">
        <v>112</v>
      </c>
      <c r="C119" s="2">
        <v>1790389219001</v>
      </c>
      <c r="D119" s="5" t="s">
        <v>199</v>
      </c>
      <c r="E119" s="2" t="s">
        <v>200</v>
      </c>
      <c r="F119" s="7" t="s">
        <v>204</v>
      </c>
      <c r="G119" t="str">
        <f t="shared" si="9"/>
        <v>NO HAY</v>
      </c>
      <c r="J119" t="e">
        <f t="shared" si="10"/>
        <v>#N/A</v>
      </c>
      <c r="K119">
        <v>0</v>
      </c>
      <c r="M119" t="e">
        <f t="shared" si="11"/>
        <v>#N/A</v>
      </c>
      <c r="N119">
        <v>0</v>
      </c>
    </row>
    <row r="120" spans="1:14" x14ac:dyDescent="0.35">
      <c r="A120">
        <v>118</v>
      </c>
      <c r="B120" s="1" t="s">
        <v>292</v>
      </c>
      <c r="C120" s="2">
        <v>1790016919001</v>
      </c>
      <c r="D120" s="5">
        <v>139</v>
      </c>
      <c r="E120" s="2" t="s">
        <v>200</v>
      </c>
      <c r="F120" s="7" t="s">
        <v>215</v>
      </c>
      <c r="G120" t="str">
        <f t="shared" si="9"/>
        <v>139</v>
      </c>
      <c r="H120" t="str">
        <f t="shared" ref="H120:H151" si="18">C120&amp;G120</f>
        <v>1790016919001139</v>
      </c>
      <c r="J120" t="e">
        <f t="shared" si="10"/>
        <v>#N/A</v>
      </c>
      <c r="K120">
        <v>0</v>
      </c>
      <c r="M120">
        <f t="shared" si="11"/>
        <v>36</v>
      </c>
      <c r="N120">
        <v>1</v>
      </c>
    </row>
    <row r="121" spans="1:14" x14ac:dyDescent="0.35">
      <c r="A121">
        <v>119</v>
      </c>
      <c r="B121" s="1" t="s">
        <v>113</v>
      </c>
      <c r="C121" s="2">
        <v>1804381307001</v>
      </c>
      <c r="D121" s="5">
        <v>3</v>
      </c>
      <c r="E121" s="2" t="s">
        <v>200</v>
      </c>
      <c r="F121" s="7" t="s">
        <v>203</v>
      </c>
      <c r="G121" t="str">
        <f t="shared" si="9"/>
        <v>003</v>
      </c>
      <c r="H121" t="str">
        <f t="shared" si="18"/>
        <v>1804381307001003</v>
      </c>
      <c r="J121" t="e">
        <f t="shared" si="10"/>
        <v>#N/A</v>
      </c>
      <c r="K121">
        <v>0</v>
      </c>
      <c r="M121" t="e">
        <f t="shared" si="11"/>
        <v>#N/A</v>
      </c>
      <c r="N121">
        <v>0</v>
      </c>
    </row>
    <row r="122" spans="1:14" x14ac:dyDescent="0.35">
      <c r="A122">
        <v>120</v>
      </c>
      <c r="B122" s="1" t="s">
        <v>114</v>
      </c>
      <c r="C122" s="2">
        <v>1792927951001</v>
      </c>
      <c r="D122" s="5">
        <v>15</v>
      </c>
      <c r="E122" s="2" t="s">
        <v>200</v>
      </c>
      <c r="F122" s="7" t="s">
        <v>203</v>
      </c>
      <c r="G122" t="str">
        <f t="shared" si="9"/>
        <v>015</v>
      </c>
      <c r="H122" t="str">
        <f t="shared" si="18"/>
        <v>1792927951001015</v>
      </c>
      <c r="J122" t="e">
        <f t="shared" si="10"/>
        <v>#N/A</v>
      </c>
      <c r="K122">
        <v>0</v>
      </c>
      <c r="M122" t="e">
        <f t="shared" si="11"/>
        <v>#N/A</v>
      </c>
      <c r="N122">
        <v>0</v>
      </c>
    </row>
    <row r="123" spans="1:14" x14ac:dyDescent="0.35">
      <c r="A123">
        <v>121</v>
      </c>
      <c r="B123" s="1" t="s">
        <v>115</v>
      </c>
      <c r="C123" s="2">
        <v>1792397561001</v>
      </c>
      <c r="D123" s="5">
        <v>4</v>
      </c>
      <c r="E123" s="2" t="s">
        <v>200</v>
      </c>
      <c r="F123" s="7" t="s">
        <v>204</v>
      </c>
      <c r="G123" t="str">
        <f t="shared" si="9"/>
        <v>004</v>
      </c>
      <c r="H123" t="str">
        <f t="shared" si="18"/>
        <v>1792397561001004</v>
      </c>
      <c r="J123">
        <f t="shared" si="10"/>
        <v>29</v>
      </c>
      <c r="K123">
        <v>1</v>
      </c>
      <c r="M123">
        <f t="shared" si="11"/>
        <v>24</v>
      </c>
      <c r="N123">
        <v>1</v>
      </c>
    </row>
    <row r="124" spans="1:14" x14ac:dyDescent="0.35">
      <c r="A124">
        <v>122</v>
      </c>
      <c r="B124" s="1" t="s">
        <v>116</v>
      </c>
      <c r="C124" s="2">
        <v>1792144566001</v>
      </c>
      <c r="D124" s="5">
        <v>3</v>
      </c>
      <c r="E124" s="2" t="s">
        <v>200</v>
      </c>
      <c r="F124" s="7" t="s">
        <v>203</v>
      </c>
      <c r="G124" t="str">
        <f t="shared" si="9"/>
        <v>003</v>
      </c>
      <c r="H124" t="str">
        <f t="shared" si="18"/>
        <v>1792144566001003</v>
      </c>
      <c r="J124" t="e">
        <f t="shared" si="10"/>
        <v>#N/A</v>
      </c>
      <c r="K124">
        <v>0</v>
      </c>
      <c r="M124">
        <f t="shared" si="11"/>
        <v>52</v>
      </c>
      <c r="N124">
        <v>1</v>
      </c>
    </row>
    <row r="125" spans="1:14" x14ac:dyDescent="0.35">
      <c r="A125">
        <v>123</v>
      </c>
      <c r="B125" s="1" t="s">
        <v>117</v>
      </c>
      <c r="C125" s="2">
        <v>1791397339001</v>
      </c>
      <c r="D125" s="5">
        <v>7</v>
      </c>
      <c r="E125" s="2" t="s">
        <v>200</v>
      </c>
      <c r="F125" s="7" t="s">
        <v>216</v>
      </c>
      <c r="G125" t="str">
        <f t="shared" si="9"/>
        <v>007</v>
      </c>
      <c r="H125" t="str">
        <f t="shared" si="18"/>
        <v>1791397339001007</v>
      </c>
      <c r="J125" t="e">
        <f t="shared" si="10"/>
        <v>#N/A</v>
      </c>
      <c r="K125">
        <v>0</v>
      </c>
      <c r="M125" t="e">
        <f t="shared" si="11"/>
        <v>#N/A</v>
      </c>
      <c r="N125">
        <v>0</v>
      </c>
    </row>
    <row r="126" spans="1:14" x14ac:dyDescent="0.35">
      <c r="A126">
        <v>124</v>
      </c>
      <c r="B126" s="1" t="s">
        <v>118</v>
      </c>
      <c r="C126" s="2">
        <v>1791309863001</v>
      </c>
      <c r="D126" s="5">
        <v>7</v>
      </c>
      <c r="E126" s="2" t="s">
        <v>200</v>
      </c>
      <c r="F126" s="7" t="s">
        <v>214</v>
      </c>
      <c r="G126" t="str">
        <f t="shared" si="9"/>
        <v>007</v>
      </c>
      <c r="H126" t="str">
        <f t="shared" si="18"/>
        <v>1791309863001007</v>
      </c>
      <c r="J126" t="e">
        <f t="shared" si="10"/>
        <v>#N/A</v>
      </c>
      <c r="K126">
        <v>0</v>
      </c>
      <c r="M126">
        <f t="shared" si="11"/>
        <v>45</v>
      </c>
      <c r="N126">
        <v>1</v>
      </c>
    </row>
    <row r="127" spans="1:14" x14ac:dyDescent="0.35">
      <c r="A127">
        <v>125</v>
      </c>
      <c r="B127" s="1" t="s">
        <v>119</v>
      </c>
      <c r="C127" s="2">
        <v>1793160921001</v>
      </c>
      <c r="D127" s="5">
        <v>8</v>
      </c>
      <c r="E127" s="2" t="s">
        <v>200</v>
      </c>
      <c r="F127" s="7" t="s">
        <v>205</v>
      </c>
      <c r="G127" t="str">
        <f t="shared" si="9"/>
        <v>008</v>
      </c>
      <c r="H127" t="str">
        <f t="shared" si="18"/>
        <v>1793160921001008</v>
      </c>
      <c r="J127" t="e">
        <f t="shared" si="10"/>
        <v>#N/A</v>
      </c>
      <c r="K127">
        <v>0</v>
      </c>
      <c r="M127" t="e">
        <f t="shared" si="11"/>
        <v>#N/A</v>
      </c>
      <c r="N127">
        <v>0</v>
      </c>
    </row>
    <row r="128" spans="1:14" x14ac:dyDescent="0.35">
      <c r="A128">
        <v>126</v>
      </c>
      <c r="B128" s="1" t="s">
        <v>120</v>
      </c>
      <c r="C128" s="2">
        <v>1706655386001</v>
      </c>
      <c r="D128" s="5">
        <v>9</v>
      </c>
      <c r="E128" s="2" t="s">
        <v>200</v>
      </c>
      <c r="F128" s="7" t="s">
        <v>217</v>
      </c>
      <c r="G128" t="str">
        <f t="shared" si="9"/>
        <v>009</v>
      </c>
      <c r="H128" t="str">
        <f t="shared" si="18"/>
        <v>1706655386001009</v>
      </c>
      <c r="J128" t="e">
        <f t="shared" si="10"/>
        <v>#N/A</v>
      </c>
      <c r="K128">
        <v>0</v>
      </c>
      <c r="M128" t="e">
        <f t="shared" si="11"/>
        <v>#N/A</v>
      </c>
      <c r="N128">
        <v>0</v>
      </c>
    </row>
    <row r="129" spans="1:14" x14ac:dyDescent="0.35">
      <c r="A129">
        <v>127</v>
      </c>
      <c r="B129" s="1" t="s">
        <v>121</v>
      </c>
      <c r="C129" s="2">
        <v>1792984025001</v>
      </c>
      <c r="D129" s="5">
        <v>4</v>
      </c>
      <c r="E129" s="2" t="s">
        <v>200</v>
      </c>
      <c r="F129" s="7" t="s">
        <v>211</v>
      </c>
      <c r="G129" t="str">
        <f t="shared" si="9"/>
        <v>004</v>
      </c>
      <c r="H129" t="str">
        <f t="shared" si="18"/>
        <v>1792984025001004</v>
      </c>
      <c r="J129">
        <f t="shared" si="10"/>
        <v>31</v>
      </c>
      <c r="K129">
        <v>1</v>
      </c>
      <c r="M129">
        <f t="shared" si="11"/>
        <v>26</v>
      </c>
      <c r="N129">
        <v>1</v>
      </c>
    </row>
    <row r="130" spans="1:14" x14ac:dyDescent="0.35">
      <c r="A130">
        <v>128</v>
      </c>
      <c r="B130" s="1" t="s">
        <v>122</v>
      </c>
      <c r="C130" s="2">
        <v>1792212308001</v>
      </c>
      <c r="D130" s="5">
        <v>2</v>
      </c>
      <c r="E130" s="2" t="s">
        <v>200</v>
      </c>
      <c r="F130" s="7" t="s">
        <v>204</v>
      </c>
      <c r="G130" t="str">
        <f t="shared" si="9"/>
        <v>002</v>
      </c>
      <c r="H130" t="str">
        <f t="shared" si="18"/>
        <v>1792212308001002</v>
      </c>
      <c r="J130" t="e">
        <f t="shared" si="10"/>
        <v>#N/A</v>
      </c>
      <c r="K130">
        <v>0</v>
      </c>
      <c r="M130" t="e">
        <f t="shared" si="11"/>
        <v>#N/A</v>
      </c>
      <c r="N130">
        <v>0</v>
      </c>
    </row>
    <row r="131" spans="1:14" x14ac:dyDescent="0.35">
      <c r="A131">
        <v>129</v>
      </c>
      <c r="B131" s="1" t="s">
        <v>123</v>
      </c>
      <c r="C131" s="2">
        <v>1791287541001</v>
      </c>
      <c r="D131" s="5">
        <v>31</v>
      </c>
      <c r="E131" s="2" t="s">
        <v>200</v>
      </c>
      <c r="F131" s="7" t="s">
        <v>207</v>
      </c>
      <c r="G131" t="str">
        <f t="shared" si="9"/>
        <v>031</v>
      </c>
      <c r="H131" t="str">
        <f t="shared" si="18"/>
        <v>1791287541001031</v>
      </c>
      <c r="J131" t="e">
        <f t="shared" si="10"/>
        <v>#N/A</v>
      </c>
      <c r="K131">
        <v>0</v>
      </c>
      <c r="M131" t="e">
        <f t="shared" si="11"/>
        <v>#N/A</v>
      </c>
      <c r="N131">
        <v>0</v>
      </c>
    </row>
    <row r="132" spans="1:14" x14ac:dyDescent="0.35">
      <c r="A132">
        <v>130</v>
      </c>
      <c r="B132" s="1" t="s">
        <v>124</v>
      </c>
      <c r="C132" s="2">
        <v>1792636299001</v>
      </c>
      <c r="D132" s="5">
        <v>15</v>
      </c>
      <c r="E132" s="2" t="s">
        <v>200</v>
      </c>
      <c r="F132" s="7" t="s">
        <v>204</v>
      </c>
      <c r="G132" t="str">
        <f t="shared" ref="G132:G195" si="19">TEXT(D132,"000")</f>
        <v>015</v>
      </c>
      <c r="H132" t="str">
        <f t="shared" si="18"/>
        <v>1792636299001015</v>
      </c>
      <c r="J132" t="e">
        <f t="shared" ref="J132:J195" si="20">MATCH(H132,$I$2:$I$36,0)</f>
        <v>#N/A</v>
      </c>
      <c r="K132">
        <v>0</v>
      </c>
      <c r="M132" t="e">
        <f t="shared" ref="M132:M195" si="21">MATCH(H132,$L$2:$L$62,0)</f>
        <v>#N/A</v>
      </c>
      <c r="N132">
        <v>0</v>
      </c>
    </row>
    <row r="133" spans="1:14" x14ac:dyDescent="0.35">
      <c r="A133">
        <v>131</v>
      </c>
      <c r="B133" s="1" t="s">
        <v>125</v>
      </c>
      <c r="C133" s="2">
        <v>1790665437001</v>
      </c>
      <c r="D133" s="5">
        <v>10</v>
      </c>
      <c r="E133" s="2" t="s">
        <v>200</v>
      </c>
      <c r="F133" s="7" t="s">
        <v>204</v>
      </c>
      <c r="G133" t="str">
        <f t="shared" si="19"/>
        <v>010</v>
      </c>
      <c r="H133" t="str">
        <f t="shared" si="18"/>
        <v>1790665437001010</v>
      </c>
      <c r="J133" t="e">
        <f t="shared" si="20"/>
        <v>#N/A</v>
      </c>
      <c r="K133">
        <v>0</v>
      </c>
      <c r="M133" t="e">
        <f t="shared" si="21"/>
        <v>#N/A</v>
      </c>
      <c r="N133">
        <v>0</v>
      </c>
    </row>
    <row r="134" spans="1:14" x14ac:dyDescent="0.35">
      <c r="A134">
        <v>132</v>
      </c>
      <c r="B134" s="1" t="s">
        <v>126</v>
      </c>
      <c r="C134" s="2">
        <v>1792098424001</v>
      </c>
      <c r="D134" s="5">
        <v>17</v>
      </c>
      <c r="E134" s="2" t="s">
        <v>200</v>
      </c>
      <c r="F134" s="7" t="s">
        <v>204</v>
      </c>
      <c r="G134" t="str">
        <f t="shared" si="19"/>
        <v>017</v>
      </c>
      <c r="H134" t="str">
        <f t="shared" si="18"/>
        <v>1792098424001017</v>
      </c>
      <c r="J134" t="e">
        <f t="shared" si="20"/>
        <v>#N/A</v>
      </c>
      <c r="K134">
        <v>0</v>
      </c>
      <c r="M134" t="e">
        <f t="shared" si="21"/>
        <v>#N/A</v>
      </c>
      <c r="N134">
        <v>0</v>
      </c>
    </row>
    <row r="135" spans="1:14" x14ac:dyDescent="0.35">
      <c r="A135">
        <v>133</v>
      </c>
      <c r="B135" s="1" t="s">
        <v>127</v>
      </c>
      <c r="C135" s="2">
        <v>1792256267001</v>
      </c>
      <c r="D135" s="5">
        <v>17</v>
      </c>
      <c r="E135" s="2" t="s">
        <v>201</v>
      </c>
      <c r="F135" s="7" t="s">
        <v>206</v>
      </c>
      <c r="G135" t="str">
        <f t="shared" si="19"/>
        <v>017</v>
      </c>
      <c r="H135" t="str">
        <f t="shared" si="18"/>
        <v>1792256267001017</v>
      </c>
      <c r="J135" t="e">
        <f t="shared" si="20"/>
        <v>#N/A</v>
      </c>
      <c r="K135">
        <v>0</v>
      </c>
      <c r="M135" t="e">
        <f t="shared" si="21"/>
        <v>#N/A</v>
      </c>
      <c r="N135">
        <v>0</v>
      </c>
    </row>
    <row r="136" spans="1:14" x14ac:dyDescent="0.35">
      <c r="A136">
        <v>134</v>
      </c>
      <c r="B136" s="1" t="s">
        <v>128</v>
      </c>
      <c r="C136" s="2">
        <v>1792282748001</v>
      </c>
      <c r="D136" s="5">
        <v>4</v>
      </c>
      <c r="E136" s="2" t="s">
        <v>200</v>
      </c>
      <c r="F136" s="7" t="s">
        <v>209</v>
      </c>
      <c r="G136" t="str">
        <f t="shared" si="19"/>
        <v>004</v>
      </c>
      <c r="H136" t="str">
        <f t="shared" si="18"/>
        <v>1792282748001004</v>
      </c>
      <c r="J136" t="e">
        <f t="shared" si="20"/>
        <v>#N/A</v>
      </c>
      <c r="K136">
        <v>0</v>
      </c>
      <c r="M136" t="e">
        <f t="shared" si="21"/>
        <v>#N/A</v>
      </c>
      <c r="N136">
        <v>0</v>
      </c>
    </row>
    <row r="137" spans="1:14" x14ac:dyDescent="0.35">
      <c r="A137">
        <v>135</v>
      </c>
      <c r="B137" s="1" t="s">
        <v>129</v>
      </c>
      <c r="C137" s="2">
        <v>1793072356001</v>
      </c>
      <c r="D137" s="5">
        <v>2</v>
      </c>
      <c r="E137" s="2" t="s">
        <v>200</v>
      </c>
      <c r="F137" s="7" t="s">
        <v>204</v>
      </c>
      <c r="G137" t="str">
        <f t="shared" si="19"/>
        <v>002</v>
      </c>
      <c r="H137" t="str">
        <f t="shared" si="18"/>
        <v>1793072356001002</v>
      </c>
      <c r="J137" t="e">
        <f t="shared" si="20"/>
        <v>#N/A</v>
      </c>
      <c r="K137">
        <v>0</v>
      </c>
      <c r="M137" t="e">
        <f t="shared" si="21"/>
        <v>#N/A</v>
      </c>
      <c r="N137">
        <v>0</v>
      </c>
    </row>
    <row r="138" spans="1:14" x14ac:dyDescent="0.35">
      <c r="A138">
        <v>136</v>
      </c>
      <c r="B138" s="1" t="s">
        <v>130</v>
      </c>
      <c r="C138" s="2">
        <v>1792325390001</v>
      </c>
      <c r="D138" s="5">
        <v>3</v>
      </c>
      <c r="E138" s="2" t="s">
        <v>200</v>
      </c>
      <c r="F138" s="7" t="s">
        <v>211</v>
      </c>
      <c r="G138" t="str">
        <f t="shared" si="19"/>
        <v>003</v>
      </c>
      <c r="H138" t="str">
        <f t="shared" si="18"/>
        <v>1792325390001003</v>
      </c>
      <c r="J138" t="e">
        <f t="shared" si="20"/>
        <v>#N/A</v>
      </c>
      <c r="K138">
        <v>0</v>
      </c>
      <c r="M138" t="e">
        <f t="shared" si="21"/>
        <v>#N/A</v>
      </c>
      <c r="N138">
        <v>0</v>
      </c>
    </row>
    <row r="139" spans="1:14" x14ac:dyDescent="0.35">
      <c r="A139">
        <v>137</v>
      </c>
      <c r="B139" s="1" t="s">
        <v>131</v>
      </c>
      <c r="C139" s="2">
        <v>1790558886001</v>
      </c>
      <c r="D139" s="5">
        <v>71</v>
      </c>
      <c r="E139" s="2" t="s">
        <v>200</v>
      </c>
      <c r="F139" s="7" t="s">
        <v>208</v>
      </c>
      <c r="G139" t="str">
        <f t="shared" si="19"/>
        <v>071</v>
      </c>
      <c r="H139" t="str">
        <f t="shared" si="18"/>
        <v>1790558886001071</v>
      </c>
      <c r="J139">
        <f t="shared" si="20"/>
        <v>11</v>
      </c>
      <c r="K139">
        <v>1</v>
      </c>
      <c r="M139" t="e">
        <f t="shared" si="21"/>
        <v>#N/A</v>
      </c>
      <c r="N139">
        <v>0</v>
      </c>
    </row>
    <row r="140" spans="1:14" x14ac:dyDescent="0.35">
      <c r="A140">
        <v>138</v>
      </c>
      <c r="B140" s="1" t="s">
        <v>132</v>
      </c>
      <c r="C140" s="2">
        <v>992413077001</v>
      </c>
      <c r="D140" s="5">
        <v>57</v>
      </c>
      <c r="E140" s="2" t="s">
        <v>200</v>
      </c>
      <c r="F140" s="7" t="s">
        <v>208</v>
      </c>
      <c r="G140" t="str">
        <f t="shared" si="19"/>
        <v>057</v>
      </c>
      <c r="H140" t="str">
        <f t="shared" si="18"/>
        <v>992413077001057</v>
      </c>
      <c r="J140" t="e">
        <f t="shared" si="20"/>
        <v>#N/A</v>
      </c>
      <c r="K140">
        <v>0</v>
      </c>
      <c r="M140" t="e">
        <f t="shared" si="21"/>
        <v>#N/A</v>
      </c>
      <c r="N140">
        <v>0</v>
      </c>
    </row>
    <row r="141" spans="1:14" x14ac:dyDescent="0.35">
      <c r="A141">
        <v>139</v>
      </c>
      <c r="B141" s="1" t="s">
        <v>133</v>
      </c>
      <c r="C141" s="2">
        <v>1705157400001</v>
      </c>
      <c r="D141" s="5">
        <v>6</v>
      </c>
      <c r="E141" s="2" t="s">
        <v>200</v>
      </c>
      <c r="F141" t="s">
        <v>203</v>
      </c>
      <c r="G141" t="str">
        <f t="shared" si="19"/>
        <v>006</v>
      </c>
      <c r="H141" t="str">
        <f t="shared" si="18"/>
        <v>1705157400001006</v>
      </c>
      <c r="J141" t="e">
        <f t="shared" si="20"/>
        <v>#N/A</v>
      </c>
      <c r="K141">
        <v>0</v>
      </c>
      <c r="M141" t="e">
        <f t="shared" si="21"/>
        <v>#N/A</v>
      </c>
      <c r="N141">
        <v>0</v>
      </c>
    </row>
    <row r="142" spans="1:14" x14ac:dyDescent="0.35">
      <c r="A142">
        <v>140</v>
      </c>
      <c r="B142" s="1" t="s">
        <v>134</v>
      </c>
      <c r="C142" s="2">
        <v>1711619567001</v>
      </c>
      <c r="D142" s="5">
        <v>2</v>
      </c>
      <c r="E142" s="2" t="s">
        <v>200</v>
      </c>
      <c r="F142" s="7" t="s">
        <v>204</v>
      </c>
      <c r="G142" t="str">
        <f t="shared" si="19"/>
        <v>002</v>
      </c>
      <c r="H142" t="str">
        <f t="shared" si="18"/>
        <v>1711619567001002</v>
      </c>
      <c r="J142" t="e">
        <f t="shared" si="20"/>
        <v>#N/A</v>
      </c>
      <c r="K142">
        <v>0</v>
      </c>
      <c r="M142" t="e">
        <f t="shared" si="21"/>
        <v>#N/A</v>
      </c>
      <c r="N142">
        <v>0</v>
      </c>
    </row>
    <row r="143" spans="1:14" x14ac:dyDescent="0.35">
      <c r="A143">
        <v>141</v>
      </c>
      <c r="B143" s="1" t="s">
        <v>135</v>
      </c>
      <c r="C143" s="2">
        <v>1792879477001</v>
      </c>
      <c r="D143" s="5">
        <v>3</v>
      </c>
      <c r="E143" s="2" t="s">
        <v>200</v>
      </c>
      <c r="F143" s="7" t="s">
        <v>203</v>
      </c>
      <c r="G143" t="str">
        <f t="shared" si="19"/>
        <v>003</v>
      </c>
      <c r="H143" t="str">
        <f t="shared" si="18"/>
        <v>1792879477001003</v>
      </c>
      <c r="J143" t="e">
        <f t="shared" si="20"/>
        <v>#N/A</v>
      </c>
      <c r="K143">
        <v>0</v>
      </c>
      <c r="M143" t="e">
        <f t="shared" si="21"/>
        <v>#N/A</v>
      </c>
      <c r="N143">
        <v>0</v>
      </c>
    </row>
    <row r="144" spans="1:14" x14ac:dyDescent="0.35">
      <c r="A144">
        <v>142</v>
      </c>
      <c r="B144" s="1" t="s">
        <v>136</v>
      </c>
      <c r="C144" s="2">
        <v>1792278791001</v>
      </c>
      <c r="D144" s="5">
        <v>16</v>
      </c>
      <c r="E144" s="2" t="s">
        <v>200</v>
      </c>
      <c r="F144" s="7" t="s">
        <v>203</v>
      </c>
      <c r="G144" t="str">
        <f t="shared" si="19"/>
        <v>016</v>
      </c>
      <c r="H144" t="str">
        <f t="shared" si="18"/>
        <v>1792278791001016</v>
      </c>
      <c r="J144" t="e">
        <f t="shared" si="20"/>
        <v>#N/A</v>
      </c>
      <c r="K144">
        <v>0</v>
      </c>
      <c r="M144">
        <f t="shared" si="21"/>
        <v>53</v>
      </c>
      <c r="N144">
        <v>1</v>
      </c>
    </row>
    <row r="145" spans="1:14" x14ac:dyDescent="0.35">
      <c r="A145">
        <v>143</v>
      </c>
      <c r="B145" s="1" t="s">
        <v>137</v>
      </c>
      <c r="C145" s="2">
        <v>1793036090001</v>
      </c>
      <c r="D145" s="5">
        <v>2</v>
      </c>
      <c r="E145" s="2" t="s">
        <v>200</v>
      </c>
      <c r="F145" s="7" t="s">
        <v>209</v>
      </c>
      <c r="G145" t="str">
        <f t="shared" si="19"/>
        <v>002</v>
      </c>
      <c r="H145" t="str">
        <f t="shared" si="18"/>
        <v>1793036090001002</v>
      </c>
      <c r="J145" t="e">
        <f t="shared" si="20"/>
        <v>#N/A</v>
      </c>
      <c r="K145">
        <v>0</v>
      </c>
      <c r="M145" t="e">
        <f t="shared" si="21"/>
        <v>#N/A</v>
      </c>
      <c r="N145">
        <v>0</v>
      </c>
    </row>
    <row r="146" spans="1:14" x14ac:dyDescent="0.35">
      <c r="A146">
        <v>144</v>
      </c>
      <c r="B146" s="1" t="s">
        <v>138</v>
      </c>
      <c r="C146" s="2">
        <v>1791807529001</v>
      </c>
      <c r="D146" s="5">
        <v>46</v>
      </c>
      <c r="E146" s="2" t="s">
        <v>200</v>
      </c>
      <c r="F146" s="7" t="s">
        <v>203</v>
      </c>
      <c r="G146" t="str">
        <f t="shared" si="19"/>
        <v>046</v>
      </c>
      <c r="H146" t="str">
        <f t="shared" si="18"/>
        <v>1791807529001046</v>
      </c>
      <c r="J146" t="e">
        <f t="shared" si="20"/>
        <v>#N/A</v>
      </c>
      <c r="K146">
        <v>0</v>
      </c>
      <c r="M146" t="e">
        <f t="shared" si="21"/>
        <v>#N/A</v>
      </c>
      <c r="N146">
        <v>0</v>
      </c>
    </row>
    <row r="147" spans="1:14" x14ac:dyDescent="0.35">
      <c r="A147">
        <v>145</v>
      </c>
      <c r="B147" s="1" t="s">
        <v>139</v>
      </c>
      <c r="C147" s="2">
        <v>992141913001</v>
      </c>
      <c r="D147" s="5">
        <v>33</v>
      </c>
      <c r="E147" s="2" t="s">
        <v>200</v>
      </c>
      <c r="F147" s="7" t="s">
        <v>212</v>
      </c>
      <c r="G147" t="str">
        <f t="shared" si="19"/>
        <v>033</v>
      </c>
      <c r="H147" t="str">
        <f t="shared" si="18"/>
        <v>992141913001033</v>
      </c>
      <c r="J147" t="e">
        <f t="shared" si="20"/>
        <v>#N/A</v>
      </c>
      <c r="K147">
        <v>0</v>
      </c>
      <c r="M147" t="e">
        <f t="shared" si="21"/>
        <v>#N/A</v>
      </c>
      <c r="N147">
        <v>0</v>
      </c>
    </row>
    <row r="148" spans="1:14" x14ac:dyDescent="0.35">
      <c r="A148">
        <v>146</v>
      </c>
      <c r="B148" s="1" t="s">
        <v>140</v>
      </c>
      <c r="C148" s="2">
        <v>990858322001</v>
      </c>
      <c r="D148" s="5">
        <v>275</v>
      </c>
      <c r="E148" s="2" t="s">
        <v>200</v>
      </c>
      <c r="F148" s="7" t="s">
        <v>208</v>
      </c>
      <c r="G148" t="str">
        <f t="shared" si="19"/>
        <v>275</v>
      </c>
      <c r="H148" t="str">
        <f t="shared" si="18"/>
        <v>990858322001275</v>
      </c>
      <c r="J148" t="e">
        <f t="shared" si="20"/>
        <v>#N/A</v>
      </c>
      <c r="K148">
        <v>0</v>
      </c>
      <c r="M148" t="e">
        <f t="shared" si="21"/>
        <v>#N/A</v>
      </c>
      <c r="N148">
        <v>0</v>
      </c>
    </row>
    <row r="149" spans="1:14" x14ac:dyDescent="0.35">
      <c r="A149">
        <v>147</v>
      </c>
      <c r="B149" s="1" t="s">
        <v>218</v>
      </c>
      <c r="C149" s="2">
        <v>1790027791001</v>
      </c>
      <c r="D149" s="5">
        <v>166</v>
      </c>
      <c r="E149" s="2" t="s">
        <v>200</v>
      </c>
      <c r="F149" s="7" t="s">
        <v>204</v>
      </c>
      <c r="G149" t="str">
        <f t="shared" si="19"/>
        <v>166</v>
      </c>
      <c r="H149" t="str">
        <f t="shared" si="18"/>
        <v>1790027791001166</v>
      </c>
      <c r="J149" t="e">
        <f t="shared" si="20"/>
        <v>#N/A</v>
      </c>
      <c r="K149">
        <v>0</v>
      </c>
      <c r="M149" t="e">
        <f t="shared" si="21"/>
        <v>#N/A</v>
      </c>
      <c r="N149">
        <v>0</v>
      </c>
    </row>
    <row r="150" spans="1:14" x14ac:dyDescent="0.35">
      <c r="A150">
        <v>148</v>
      </c>
      <c r="B150" s="1" t="s">
        <v>141</v>
      </c>
      <c r="C150" s="2">
        <v>1090033944001</v>
      </c>
      <c r="D150" s="5">
        <v>47</v>
      </c>
      <c r="E150" s="2" t="s">
        <v>200</v>
      </c>
      <c r="F150" s="7" t="s">
        <v>204</v>
      </c>
      <c r="G150" t="str">
        <f t="shared" si="19"/>
        <v>047</v>
      </c>
      <c r="H150" t="str">
        <f t="shared" si="18"/>
        <v>1090033944001047</v>
      </c>
      <c r="J150" t="e">
        <f t="shared" si="20"/>
        <v>#N/A</v>
      </c>
      <c r="K150">
        <v>0</v>
      </c>
      <c r="M150" t="e">
        <f t="shared" si="21"/>
        <v>#N/A</v>
      </c>
      <c r="N150">
        <v>0</v>
      </c>
    </row>
    <row r="151" spans="1:14" x14ac:dyDescent="0.35">
      <c r="A151">
        <v>149</v>
      </c>
      <c r="B151" s="1" t="s">
        <v>142</v>
      </c>
      <c r="C151" s="2">
        <v>1790646483001</v>
      </c>
      <c r="D151" s="5">
        <v>51</v>
      </c>
      <c r="E151" s="2" t="s">
        <v>200</v>
      </c>
      <c r="F151" t="s">
        <v>206</v>
      </c>
      <c r="G151" t="str">
        <f t="shared" si="19"/>
        <v>051</v>
      </c>
      <c r="H151" t="str">
        <f t="shared" si="18"/>
        <v>1790646483001051</v>
      </c>
      <c r="J151" t="e">
        <f t="shared" si="20"/>
        <v>#N/A</v>
      </c>
      <c r="K151">
        <v>0</v>
      </c>
      <c r="M151">
        <f t="shared" si="21"/>
        <v>39</v>
      </c>
      <c r="N151">
        <v>1</v>
      </c>
    </row>
    <row r="152" spans="1:14" x14ac:dyDescent="0.35">
      <c r="A152">
        <v>150</v>
      </c>
      <c r="B152" s="1" t="s">
        <v>143</v>
      </c>
      <c r="C152" s="2">
        <v>992531983001</v>
      </c>
      <c r="D152" s="5">
        <v>13</v>
      </c>
      <c r="E152" s="2" t="s">
        <v>200</v>
      </c>
      <c r="F152" s="7" t="s">
        <v>213</v>
      </c>
      <c r="G152" t="str">
        <f t="shared" si="19"/>
        <v>013</v>
      </c>
      <c r="H152" t="str">
        <f t="shared" ref="H152:H183" si="22">C152&amp;G152</f>
        <v>992531983001013</v>
      </c>
      <c r="J152" t="e">
        <f t="shared" si="20"/>
        <v>#N/A</v>
      </c>
      <c r="K152">
        <v>0</v>
      </c>
      <c r="M152" t="e">
        <f t="shared" si="21"/>
        <v>#N/A</v>
      </c>
      <c r="N152">
        <v>0</v>
      </c>
    </row>
    <row r="153" spans="1:14" x14ac:dyDescent="0.35">
      <c r="A153">
        <v>151</v>
      </c>
      <c r="B153" s="1" t="s">
        <v>144</v>
      </c>
      <c r="C153" s="2">
        <v>1793149316001</v>
      </c>
      <c r="D153" s="5">
        <v>2</v>
      </c>
      <c r="E153" s="2" t="s">
        <v>200</v>
      </c>
      <c r="F153" s="7" t="s">
        <v>203</v>
      </c>
      <c r="G153" t="str">
        <f t="shared" si="19"/>
        <v>002</v>
      </c>
      <c r="H153" t="str">
        <f t="shared" si="22"/>
        <v>1793149316001002</v>
      </c>
      <c r="J153" t="e">
        <f t="shared" si="20"/>
        <v>#N/A</v>
      </c>
      <c r="K153">
        <v>0</v>
      </c>
      <c r="M153" t="e">
        <f t="shared" si="21"/>
        <v>#N/A</v>
      </c>
      <c r="N153">
        <v>0</v>
      </c>
    </row>
    <row r="154" spans="1:14" x14ac:dyDescent="0.35">
      <c r="A154">
        <v>152</v>
      </c>
      <c r="B154" s="1" t="s">
        <v>145</v>
      </c>
      <c r="C154" s="2">
        <v>1706778824001</v>
      </c>
      <c r="D154" s="5">
        <v>2</v>
      </c>
      <c r="E154" s="2" t="s">
        <v>200</v>
      </c>
      <c r="F154" s="7" t="s">
        <v>207</v>
      </c>
      <c r="G154" t="str">
        <f t="shared" si="19"/>
        <v>002</v>
      </c>
      <c r="H154" t="str">
        <f t="shared" si="22"/>
        <v>1706778824001002</v>
      </c>
      <c r="J154" t="e">
        <f t="shared" si="20"/>
        <v>#N/A</v>
      </c>
      <c r="K154">
        <v>0</v>
      </c>
      <c r="M154" t="e">
        <f t="shared" si="21"/>
        <v>#N/A</v>
      </c>
      <c r="N154">
        <v>0</v>
      </c>
    </row>
    <row r="155" spans="1:14" x14ac:dyDescent="0.35">
      <c r="A155">
        <v>153</v>
      </c>
      <c r="B155" s="1" t="s">
        <v>146</v>
      </c>
      <c r="C155" s="2">
        <v>1793052738001</v>
      </c>
      <c r="D155" s="5">
        <v>9</v>
      </c>
      <c r="E155" s="2" t="s">
        <v>200</v>
      </c>
      <c r="F155" t="s">
        <v>206</v>
      </c>
      <c r="G155" t="str">
        <f t="shared" si="19"/>
        <v>009</v>
      </c>
      <c r="H155" t="str">
        <f t="shared" si="22"/>
        <v>1793052738001009</v>
      </c>
      <c r="J155" t="e">
        <f t="shared" si="20"/>
        <v>#N/A</v>
      </c>
      <c r="K155">
        <v>0</v>
      </c>
      <c r="M155" t="e">
        <f t="shared" si="21"/>
        <v>#N/A</v>
      </c>
      <c r="N155">
        <v>0</v>
      </c>
    </row>
    <row r="156" spans="1:14" x14ac:dyDescent="0.35">
      <c r="A156">
        <v>154</v>
      </c>
      <c r="B156" s="1" t="s">
        <v>147</v>
      </c>
      <c r="C156" s="2">
        <v>1792397561001</v>
      </c>
      <c r="D156" s="5">
        <v>15</v>
      </c>
      <c r="E156" s="2" t="s">
        <v>200</v>
      </c>
      <c r="F156" s="7" t="s">
        <v>204</v>
      </c>
      <c r="G156" t="str">
        <f t="shared" si="19"/>
        <v>015</v>
      </c>
      <c r="H156" t="str">
        <f t="shared" si="22"/>
        <v>1792397561001015</v>
      </c>
      <c r="J156" t="e">
        <f t="shared" si="20"/>
        <v>#N/A</v>
      </c>
      <c r="K156">
        <v>0</v>
      </c>
      <c r="M156" t="e">
        <f t="shared" si="21"/>
        <v>#N/A</v>
      </c>
      <c r="N156">
        <v>0</v>
      </c>
    </row>
    <row r="157" spans="1:14" x14ac:dyDescent="0.35">
      <c r="A157">
        <v>155</v>
      </c>
      <c r="B157" s="1" t="s">
        <v>148</v>
      </c>
      <c r="C157" s="2">
        <v>1791836979001</v>
      </c>
      <c r="D157" s="5">
        <v>36</v>
      </c>
      <c r="E157" s="2" t="s">
        <v>200</v>
      </c>
      <c r="F157" s="7" t="s">
        <v>204</v>
      </c>
      <c r="G157" t="str">
        <f t="shared" si="19"/>
        <v>036</v>
      </c>
      <c r="H157" t="str">
        <f t="shared" si="22"/>
        <v>1791836979001036</v>
      </c>
      <c r="J157" t="e">
        <f t="shared" si="20"/>
        <v>#N/A</v>
      </c>
      <c r="K157">
        <v>0</v>
      </c>
      <c r="M157" t="e">
        <f t="shared" si="21"/>
        <v>#N/A</v>
      </c>
      <c r="N157">
        <v>0</v>
      </c>
    </row>
    <row r="158" spans="1:14" x14ac:dyDescent="0.35">
      <c r="A158">
        <v>156</v>
      </c>
      <c r="B158" s="1" t="s">
        <v>149</v>
      </c>
      <c r="C158" s="2">
        <v>1710138296001</v>
      </c>
      <c r="D158" s="5">
        <v>5</v>
      </c>
      <c r="E158" s="2" t="s">
        <v>200</v>
      </c>
      <c r="F158" s="7" t="s">
        <v>203</v>
      </c>
      <c r="G158" t="str">
        <f t="shared" si="19"/>
        <v>005</v>
      </c>
      <c r="H158" t="str">
        <f t="shared" si="22"/>
        <v>1710138296001005</v>
      </c>
      <c r="J158" t="e">
        <f t="shared" si="20"/>
        <v>#N/A</v>
      </c>
      <c r="K158">
        <v>0</v>
      </c>
      <c r="M158">
        <f t="shared" si="21"/>
        <v>35</v>
      </c>
      <c r="N158">
        <v>1</v>
      </c>
    </row>
    <row r="159" spans="1:14" x14ac:dyDescent="0.35">
      <c r="A159">
        <v>158</v>
      </c>
      <c r="B159" s="1" t="s">
        <v>150</v>
      </c>
      <c r="C159" s="2">
        <v>1792363322001</v>
      </c>
      <c r="D159" s="5">
        <v>3</v>
      </c>
      <c r="E159" s="2" t="s">
        <v>200</v>
      </c>
      <c r="F159" t="s">
        <v>206</v>
      </c>
      <c r="G159" t="str">
        <f t="shared" si="19"/>
        <v>003</v>
      </c>
      <c r="H159" t="str">
        <f t="shared" si="22"/>
        <v>1792363322001003</v>
      </c>
      <c r="J159" t="e">
        <f t="shared" si="20"/>
        <v>#N/A</v>
      </c>
      <c r="K159">
        <v>0</v>
      </c>
      <c r="M159" t="e">
        <f t="shared" si="21"/>
        <v>#N/A</v>
      </c>
      <c r="N159">
        <v>0</v>
      </c>
    </row>
    <row r="160" spans="1:14" x14ac:dyDescent="0.35">
      <c r="A160">
        <v>159</v>
      </c>
      <c r="B160" s="1" t="s">
        <v>151</v>
      </c>
      <c r="C160" s="2">
        <v>1712908530001</v>
      </c>
      <c r="D160" s="5">
        <v>2</v>
      </c>
      <c r="E160" s="2" t="s">
        <v>200</v>
      </c>
      <c r="F160" s="7" t="s">
        <v>205</v>
      </c>
      <c r="G160" t="str">
        <f t="shared" si="19"/>
        <v>002</v>
      </c>
      <c r="H160" t="str">
        <f t="shared" si="22"/>
        <v>1712908530001002</v>
      </c>
      <c r="J160" t="e">
        <f t="shared" si="20"/>
        <v>#N/A</v>
      </c>
      <c r="K160">
        <v>0</v>
      </c>
      <c r="M160" t="e">
        <f t="shared" si="21"/>
        <v>#N/A</v>
      </c>
      <c r="N160">
        <v>0</v>
      </c>
    </row>
    <row r="161" spans="1:14" x14ac:dyDescent="0.35">
      <c r="A161">
        <v>160</v>
      </c>
      <c r="B161" s="1" t="s">
        <v>152</v>
      </c>
      <c r="C161" s="2">
        <v>990043027001</v>
      </c>
      <c r="D161" s="5">
        <v>509</v>
      </c>
      <c r="E161" s="2" t="s">
        <v>200</v>
      </c>
      <c r="F161" s="7" t="s">
        <v>205</v>
      </c>
      <c r="G161" t="str">
        <f t="shared" si="19"/>
        <v>509</v>
      </c>
      <c r="H161" t="str">
        <f t="shared" si="22"/>
        <v>990043027001509</v>
      </c>
      <c r="J161" t="e">
        <f t="shared" si="20"/>
        <v>#N/A</v>
      </c>
      <c r="K161">
        <v>0</v>
      </c>
      <c r="M161" t="e">
        <f t="shared" si="21"/>
        <v>#N/A</v>
      </c>
      <c r="N161">
        <v>0</v>
      </c>
    </row>
    <row r="162" spans="1:14" x14ac:dyDescent="0.35">
      <c r="A162">
        <v>161</v>
      </c>
      <c r="B162" s="1" t="s">
        <v>153</v>
      </c>
      <c r="C162" s="2">
        <v>1793137121001</v>
      </c>
      <c r="D162" s="5">
        <v>15</v>
      </c>
      <c r="E162" s="2" t="s">
        <v>201</v>
      </c>
      <c r="F162" s="7" t="s">
        <v>208</v>
      </c>
      <c r="G162" t="str">
        <f t="shared" si="19"/>
        <v>015</v>
      </c>
      <c r="H162" t="str">
        <f t="shared" si="22"/>
        <v>1793137121001015</v>
      </c>
      <c r="J162" t="e">
        <f t="shared" si="20"/>
        <v>#N/A</v>
      </c>
      <c r="K162">
        <v>0</v>
      </c>
      <c r="M162" t="e">
        <f t="shared" si="21"/>
        <v>#N/A</v>
      </c>
      <c r="N162">
        <v>0</v>
      </c>
    </row>
    <row r="163" spans="1:14" x14ac:dyDescent="0.35">
      <c r="A163">
        <v>162</v>
      </c>
      <c r="B163" s="1" t="s">
        <v>154</v>
      </c>
      <c r="C163" s="2">
        <v>1307042968001</v>
      </c>
      <c r="D163" s="5">
        <v>7</v>
      </c>
      <c r="E163" s="2" t="s">
        <v>200</v>
      </c>
      <c r="F163" t="s">
        <v>203</v>
      </c>
      <c r="G163" t="str">
        <f t="shared" si="19"/>
        <v>007</v>
      </c>
      <c r="H163" t="str">
        <f t="shared" si="22"/>
        <v>1307042968001007</v>
      </c>
      <c r="J163">
        <f t="shared" si="20"/>
        <v>7</v>
      </c>
      <c r="K163">
        <v>1</v>
      </c>
      <c r="M163">
        <f t="shared" si="21"/>
        <v>7</v>
      </c>
      <c r="N163">
        <v>1</v>
      </c>
    </row>
    <row r="164" spans="1:14" x14ac:dyDescent="0.35">
      <c r="A164">
        <v>163</v>
      </c>
      <c r="B164" s="1" t="s">
        <v>155</v>
      </c>
      <c r="C164" s="2">
        <v>1792461561001</v>
      </c>
      <c r="D164" s="5">
        <v>4</v>
      </c>
      <c r="E164" s="2" t="s">
        <v>200</v>
      </c>
      <c r="F164" t="s">
        <v>206</v>
      </c>
      <c r="G164" t="str">
        <f t="shared" si="19"/>
        <v>004</v>
      </c>
      <c r="H164" t="str">
        <f t="shared" si="22"/>
        <v>1792461561001004</v>
      </c>
      <c r="J164">
        <f t="shared" si="20"/>
        <v>30</v>
      </c>
      <c r="K164">
        <v>1</v>
      </c>
      <c r="M164">
        <f t="shared" si="21"/>
        <v>25</v>
      </c>
      <c r="N164">
        <v>1</v>
      </c>
    </row>
    <row r="165" spans="1:14" x14ac:dyDescent="0.35">
      <c r="A165">
        <v>164</v>
      </c>
      <c r="B165" s="1" t="s">
        <v>156</v>
      </c>
      <c r="C165" s="2">
        <v>1791394712001</v>
      </c>
      <c r="D165" s="5">
        <v>3</v>
      </c>
      <c r="E165" s="2" t="s">
        <v>200</v>
      </c>
      <c r="F165" t="s">
        <v>206</v>
      </c>
      <c r="G165" t="str">
        <f t="shared" si="19"/>
        <v>003</v>
      </c>
      <c r="H165" t="str">
        <f t="shared" si="22"/>
        <v>1791394712001003</v>
      </c>
      <c r="J165">
        <f t="shared" si="20"/>
        <v>17</v>
      </c>
      <c r="K165">
        <v>1</v>
      </c>
      <c r="M165">
        <f t="shared" si="21"/>
        <v>13</v>
      </c>
      <c r="N165">
        <v>1</v>
      </c>
    </row>
    <row r="166" spans="1:14" x14ac:dyDescent="0.35">
      <c r="A166">
        <v>165</v>
      </c>
      <c r="B166" s="1" t="s">
        <v>157</v>
      </c>
      <c r="C166" s="2">
        <v>1793204721001</v>
      </c>
      <c r="D166" s="5">
        <v>1</v>
      </c>
      <c r="E166" s="2" t="s">
        <v>200</v>
      </c>
      <c r="F166" t="s">
        <v>206</v>
      </c>
      <c r="G166" t="str">
        <f t="shared" si="19"/>
        <v>001</v>
      </c>
      <c r="H166" t="str">
        <f t="shared" si="22"/>
        <v>1793204721001001</v>
      </c>
      <c r="J166" t="e">
        <f t="shared" si="20"/>
        <v>#N/A</v>
      </c>
      <c r="K166">
        <v>0</v>
      </c>
      <c r="M166" t="e">
        <f t="shared" si="21"/>
        <v>#N/A</v>
      </c>
      <c r="N166">
        <v>0</v>
      </c>
    </row>
    <row r="167" spans="1:14" x14ac:dyDescent="0.35">
      <c r="A167">
        <v>166</v>
      </c>
      <c r="B167" s="1" t="s">
        <v>157</v>
      </c>
      <c r="C167" s="2">
        <v>1793204721001</v>
      </c>
      <c r="D167" s="5">
        <v>2</v>
      </c>
      <c r="E167" s="2" t="s">
        <v>200</v>
      </c>
      <c r="F167" t="s">
        <v>206</v>
      </c>
      <c r="G167" t="str">
        <f t="shared" si="19"/>
        <v>002</v>
      </c>
      <c r="H167" t="str">
        <f t="shared" si="22"/>
        <v>1793204721001002</v>
      </c>
      <c r="J167" t="e">
        <f t="shared" si="20"/>
        <v>#N/A</v>
      </c>
      <c r="K167">
        <v>0</v>
      </c>
      <c r="M167" t="e">
        <f t="shared" si="21"/>
        <v>#N/A</v>
      </c>
      <c r="N167">
        <v>1</v>
      </c>
    </row>
    <row r="168" spans="1:14" x14ac:dyDescent="0.35">
      <c r="A168">
        <v>167</v>
      </c>
      <c r="B168" s="1" t="s">
        <v>158</v>
      </c>
      <c r="C168" s="2">
        <v>1792282748001</v>
      </c>
      <c r="D168" s="5">
        <v>7</v>
      </c>
      <c r="E168" s="2" t="s">
        <v>200</v>
      </c>
      <c r="F168" s="7" t="s">
        <v>203</v>
      </c>
      <c r="G168" t="str">
        <f t="shared" si="19"/>
        <v>007</v>
      </c>
      <c r="H168" t="str">
        <f t="shared" si="22"/>
        <v>1792282748001007</v>
      </c>
      <c r="J168" t="e">
        <f t="shared" si="20"/>
        <v>#N/A</v>
      </c>
      <c r="K168">
        <v>0</v>
      </c>
      <c r="M168" t="e">
        <f t="shared" si="21"/>
        <v>#N/A</v>
      </c>
      <c r="N168">
        <v>0</v>
      </c>
    </row>
    <row r="169" spans="1:14" x14ac:dyDescent="0.35">
      <c r="A169">
        <v>168</v>
      </c>
      <c r="B169" s="1" t="s">
        <v>159</v>
      </c>
      <c r="C169" s="2">
        <v>1792082935001</v>
      </c>
      <c r="D169" s="5">
        <v>6</v>
      </c>
      <c r="E169" s="2" t="s">
        <v>200</v>
      </c>
      <c r="F169" s="7" t="s">
        <v>204</v>
      </c>
      <c r="G169" t="str">
        <f t="shared" si="19"/>
        <v>006</v>
      </c>
      <c r="H169" t="str">
        <f t="shared" si="22"/>
        <v>1792082935001006</v>
      </c>
      <c r="J169" t="e">
        <f t="shared" si="20"/>
        <v>#N/A</v>
      </c>
      <c r="K169">
        <v>0</v>
      </c>
      <c r="M169" t="e">
        <f t="shared" si="21"/>
        <v>#N/A</v>
      </c>
      <c r="N169">
        <v>0</v>
      </c>
    </row>
    <row r="170" spans="1:14" x14ac:dyDescent="0.35">
      <c r="A170">
        <v>169</v>
      </c>
      <c r="B170" s="1" t="s">
        <v>160</v>
      </c>
      <c r="C170" s="4">
        <v>1790746119001</v>
      </c>
      <c r="D170" s="5">
        <v>31</v>
      </c>
      <c r="E170" s="2" t="s">
        <v>200</v>
      </c>
      <c r="F170" s="7" t="s">
        <v>211</v>
      </c>
      <c r="G170" t="str">
        <f t="shared" si="19"/>
        <v>031</v>
      </c>
      <c r="H170" t="str">
        <f t="shared" si="22"/>
        <v>1790746119001031</v>
      </c>
      <c r="J170" t="e">
        <f t="shared" si="20"/>
        <v>#N/A</v>
      </c>
      <c r="K170">
        <v>0</v>
      </c>
      <c r="M170">
        <f t="shared" si="21"/>
        <v>41</v>
      </c>
      <c r="N170">
        <v>1</v>
      </c>
    </row>
    <row r="171" spans="1:14" x14ac:dyDescent="0.35">
      <c r="A171">
        <v>170</v>
      </c>
      <c r="B171" s="1" t="s">
        <v>161</v>
      </c>
      <c r="C171" s="2">
        <v>1790558886001</v>
      </c>
      <c r="D171" s="5">
        <v>80</v>
      </c>
      <c r="E171" s="2" t="s">
        <v>200</v>
      </c>
      <c r="F171" s="7" t="s">
        <v>203</v>
      </c>
      <c r="G171" t="str">
        <f t="shared" si="19"/>
        <v>080</v>
      </c>
      <c r="H171" t="str">
        <f t="shared" si="22"/>
        <v>1790558886001080</v>
      </c>
      <c r="J171">
        <f t="shared" si="20"/>
        <v>12</v>
      </c>
      <c r="K171">
        <v>1</v>
      </c>
      <c r="M171" t="e">
        <f t="shared" si="21"/>
        <v>#N/A</v>
      </c>
      <c r="N171">
        <v>0</v>
      </c>
    </row>
    <row r="172" spans="1:14" x14ac:dyDescent="0.35">
      <c r="A172">
        <v>171</v>
      </c>
      <c r="B172" s="1" t="s">
        <v>162</v>
      </c>
      <c r="C172" s="2">
        <v>1792731194001</v>
      </c>
      <c r="D172" s="5">
        <v>2</v>
      </c>
      <c r="E172" s="2" t="s">
        <v>200</v>
      </c>
      <c r="F172" s="7" t="s">
        <v>214</v>
      </c>
      <c r="G172" t="str">
        <f t="shared" si="19"/>
        <v>002</v>
      </c>
      <c r="H172" t="str">
        <f t="shared" si="22"/>
        <v>1792731194001002</v>
      </c>
      <c r="J172" t="e">
        <f t="shared" si="20"/>
        <v>#N/A</v>
      </c>
      <c r="K172">
        <v>0</v>
      </c>
      <c r="M172" t="e">
        <f t="shared" si="21"/>
        <v>#N/A</v>
      </c>
      <c r="N172">
        <v>0</v>
      </c>
    </row>
    <row r="173" spans="1:14" x14ac:dyDescent="0.35">
      <c r="A173">
        <v>172</v>
      </c>
      <c r="B173" s="1" t="s">
        <v>163</v>
      </c>
      <c r="C173" s="2">
        <v>1790040275001</v>
      </c>
      <c r="D173" s="5">
        <v>38</v>
      </c>
      <c r="E173" s="2" t="s">
        <v>200</v>
      </c>
      <c r="F173" s="7" t="s">
        <v>216</v>
      </c>
      <c r="G173" t="str">
        <f t="shared" si="19"/>
        <v>038</v>
      </c>
      <c r="H173" t="str">
        <f t="shared" si="22"/>
        <v>1790040275001038</v>
      </c>
      <c r="J173" t="e">
        <f t="shared" si="20"/>
        <v>#N/A</v>
      </c>
      <c r="K173">
        <v>0</v>
      </c>
      <c r="M173" t="e">
        <f t="shared" si="21"/>
        <v>#N/A</v>
      </c>
      <c r="N173">
        <v>0</v>
      </c>
    </row>
    <row r="174" spans="1:14" x14ac:dyDescent="0.35">
      <c r="A174">
        <v>173</v>
      </c>
      <c r="B174" s="1" t="s">
        <v>164</v>
      </c>
      <c r="C174" s="2">
        <v>991458050001</v>
      </c>
      <c r="D174" s="5">
        <v>6</v>
      </c>
      <c r="E174" s="2" t="s">
        <v>200</v>
      </c>
      <c r="F174" t="s">
        <v>203</v>
      </c>
      <c r="G174" t="str">
        <f t="shared" si="19"/>
        <v>006</v>
      </c>
      <c r="H174" t="str">
        <f t="shared" si="22"/>
        <v>991458050001006</v>
      </c>
      <c r="J174" t="e">
        <f t="shared" si="20"/>
        <v>#N/A</v>
      </c>
      <c r="K174">
        <v>1</v>
      </c>
      <c r="M174" t="e">
        <f t="shared" si="21"/>
        <v>#N/A</v>
      </c>
      <c r="N174">
        <v>1</v>
      </c>
    </row>
    <row r="175" spans="1:14" x14ac:dyDescent="0.35">
      <c r="A175">
        <v>174</v>
      </c>
      <c r="B175" s="1" t="s">
        <v>165</v>
      </c>
      <c r="C175" s="2">
        <v>992106891001</v>
      </c>
      <c r="D175" s="5">
        <v>53</v>
      </c>
      <c r="E175" s="2" t="s">
        <v>200</v>
      </c>
      <c r="F175" t="s">
        <v>206</v>
      </c>
      <c r="G175" t="str">
        <f t="shared" si="19"/>
        <v>053</v>
      </c>
      <c r="H175" t="str">
        <f t="shared" si="22"/>
        <v>992106891001053</v>
      </c>
      <c r="J175">
        <f t="shared" si="20"/>
        <v>3</v>
      </c>
      <c r="K175">
        <v>1</v>
      </c>
      <c r="M175">
        <f t="shared" si="21"/>
        <v>3</v>
      </c>
      <c r="N175">
        <v>1</v>
      </c>
    </row>
    <row r="176" spans="1:14" x14ac:dyDescent="0.35">
      <c r="A176">
        <v>175</v>
      </c>
      <c r="B176" s="1" t="s">
        <v>294</v>
      </c>
      <c r="C176" s="2">
        <v>993205893001</v>
      </c>
      <c r="D176" s="5">
        <v>12</v>
      </c>
      <c r="E176" s="2" t="s">
        <v>200</v>
      </c>
      <c r="F176" s="7" t="s">
        <v>208</v>
      </c>
      <c r="G176" t="str">
        <f t="shared" si="19"/>
        <v>012</v>
      </c>
      <c r="H176" t="str">
        <f t="shared" si="22"/>
        <v>993205893001012</v>
      </c>
      <c r="J176">
        <f t="shared" si="20"/>
        <v>5</v>
      </c>
      <c r="K176">
        <v>1</v>
      </c>
      <c r="M176">
        <f t="shared" si="21"/>
        <v>5</v>
      </c>
      <c r="N176">
        <v>1</v>
      </c>
    </row>
    <row r="177" spans="1:14" x14ac:dyDescent="0.35">
      <c r="A177">
        <v>176</v>
      </c>
      <c r="B177" s="1" t="s">
        <v>166</v>
      </c>
      <c r="C177" s="2">
        <v>1801872951001</v>
      </c>
      <c r="D177" s="5">
        <v>3</v>
      </c>
      <c r="E177" s="2" t="s">
        <v>200</v>
      </c>
      <c r="F177" s="7" t="s">
        <v>203</v>
      </c>
      <c r="G177" t="str">
        <f t="shared" si="19"/>
        <v>003</v>
      </c>
      <c r="H177" t="str">
        <f t="shared" si="22"/>
        <v>1801872951001003</v>
      </c>
      <c r="J177">
        <f t="shared" si="20"/>
        <v>35</v>
      </c>
      <c r="K177">
        <v>1</v>
      </c>
      <c r="M177">
        <f t="shared" si="21"/>
        <v>30</v>
      </c>
      <c r="N177">
        <v>1</v>
      </c>
    </row>
    <row r="178" spans="1:14" x14ac:dyDescent="0.35">
      <c r="A178">
        <v>177</v>
      </c>
      <c r="B178" s="1" t="s">
        <v>167</v>
      </c>
      <c r="C178" s="2">
        <v>1791952359001</v>
      </c>
      <c r="D178" s="5">
        <v>54</v>
      </c>
      <c r="E178" s="2" t="s">
        <v>200</v>
      </c>
      <c r="F178" t="s">
        <v>206</v>
      </c>
      <c r="G178" t="str">
        <f t="shared" si="19"/>
        <v>054</v>
      </c>
      <c r="H178" t="str">
        <f t="shared" si="22"/>
        <v>1791952359001054</v>
      </c>
      <c r="J178">
        <f t="shared" si="20"/>
        <v>20</v>
      </c>
      <c r="K178">
        <v>1</v>
      </c>
      <c r="M178" t="e">
        <f t="shared" si="21"/>
        <v>#N/A</v>
      </c>
      <c r="N178">
        <v>0</v>
      </c>
    </row>
    <row r="179" spans="1:14" x14ac:dyDescent="0.35">
      <c r="A179">
        <v>178</v>
      </c>
      <c r="B179" s="1" t="s">
        <v>168</v>
      </c>
      <c r="C179" s="2">
        <v>1791413237001</v>
      </c>
      <c r="D179" s="5">
        <v>86</v>
      </c>
      <c r="E179" s="2" t="s">
        <v>200</v>
      </c>
      <c r="F179" s="7" t="s">
        <v>203</v>
      </c>
      <c r="G179" t="str">
        <f t="shared" si="19"/>
        <v>086</v>
      </c>
      <c r="H179" t="str">
        <f t="shared" si="22"/>
        <v>1791413237001086</v>
      </c>
      <c r="J179" t="e">
        <f t="shared" si="20"/>
        <v>#N/A</v>
      </c>
      <c r="K179">
        <v>0</v>
      </c>
      <c r="M179" t="e">
        <f t="shared" si="21"/>
        <v>#N/A</v>
      </c>
      <c r="N179">
        <v>0</v>
      </c>
    </row>
    <row r="180" spans="1:14" x14ac:dyDescent="0.35">
      <c r="A180">
        <v>179</v>
      </c>
      <c r="B180" s="1" t="s">
        <v>169</v>
      </c>
      <c r="C180" s="2">
        <v>1705391132001</v>
      </c>
      <c r="D180" s="5">
        <v>3</v>
      </c>
      <c r="E180" s="2" t="s">
        <v>200</v>
      </c>
      <c r="F180" t="s">
        <v>203</v>
      </c>
      <c r="G180" t="str">
        <f t="shared" si="19"/>
        <v>003</v>
      </c>
      <c r="H180" t="str">
        <f t="shared" si="22"/>
        <v>1705391132001003</v>
      </c>
      <c r="J180">
        <f t="shared" si="20"/>
        <v>8</v>
      </c>
      <c r="K180">
        <v>1</v>
      </c>
      <c r="M180">
        <f t="shared" si="21"/>
        <v>8</v>
      </c>
      <c r="N180">
        <v>1</v>
      </c>
    </row>
    <row r="181" spans="1:14" x14ac:dyDescent="0.35">
      <c r="A181">
        <v>180</v>
      </c>
      <c r="B181" s="1" t="s">
        <v>170</v>
      </c>
      <c r="C181" s="2">
        <v>1792236894001</v>
      </c>
      <c r="D181" s="5">
        <v>21</v>
      </c>
      <c r="E181" s="2" t="s">
        <v>200</v>
      </c>
      <c r="F181" s="7" t="s">
        <v>204</v>
      </c>
      <c r="G181" t="str">
        <f t="shared" si="19"/>
        <v>021</v>
      </c>
      <c r="H181" t="str">
        <f t="shared" si="22"/>
        <v>1792236894001021</v>
      </c>
      <c r="J181">
        <f t="shared" si="20"/>
        <v>28</v>
      </c>
      <c r="K181">
        <v>1</v>
      </c>
      <c r="M181">
        <f t="shared" si="21"/>
        <v>23</v>
      </c>
      <c r="N181">
        <v>1</v>
      </c>
    </row>
    <row r="182" spans="1:14" x14ac:dyDescent="0.35">
      <c r="A182">
        <v>181</v>
      </c>
      <c r="B182" s="1" t="s">
        <v>293</v>
      </c>
      <c r="C182" s="2">
        <v>1792919207001</v>
      </c>
      <c r="D182" s="5">
        <v>2</v>
      </c>
      <c r="E182" s="2" t="s">
        <v>200</v>
      </c>
      <c r="F182" s="7" t="s">
        <v>214</v>
      </c>
      <c r="G182" t="str">
        <f t="shared" si="19"/>
        <v>002</v>
      </c>
      <c r="H182" t="str">
        <f t="shared" si="22"/>
        <v>1792919207001002</v>
      </c>
      <c r="J182" t="e">
        <f t="shared" si="20"/>
        <v>#N/A</v>
      </c>
      <c r="K182">
        <v>0</v>
      </c>
      <c r="M182">
        <f t="shared" si="21"/>
        <v>57</v>
      </c>
      <c r="N182">
        <v>1</v>
      </c>
    </row>
    <row r="183" spans="1:14" x14ac:dyDescent="0.35">
      <c r="A183">
        <v>182</v>
      </c>
      <c r="B183" s="1" t="s">
        <v>171</v>
      </c>
      <c r="C183" s="2">
        <v>1791413237001</v>
      </c>
      <c r="D183" s="5">
        <v>167</v>
      </c>
      <c r="E183" s="2" t="s">
        <v>200</v>
      </c>
      <c r="F183" s="7" t="s">
        <v>204</v>
      </c>
      <c r="G183" t="str">
        <f t="shared" si="19"/>
        <v>167</v>
      </c>
      <c r="H183" t="str">
        <f t="shared" si="22"/>
        <v>1791413237001167</v>
      </c>
      <c r="J183" t="e">
        <f t="shared" si="20"/>
        <v>#N/A</v>
      </c>
      <c r="K183">
        <v>0</v>
      </c>
      <c r="M183" t="e">
        <f t="shared" si="21"/>
        <v>#N/A</v>
      </c>
      <c r="N183">
        <v>0</v>
      </c>
    </row>
    <row r="184" spans="1:14" x14ac:dyDescent="0.35">
      <c r="A184">
        <v>183</v>
      </c>
      <c r="B184" s="1" t="s">
        <v>172</v>
      </c>
      <c r="C184" s="2">
        <v>1791963695001</v>
      </c>
      <c r="D184" s="5">
        <v>18</v>
      </c>
      <c r="E184" s="2" t="s">
        <v>200</v>
      </c>
      <c r="F184" s="7" t="s">
        <v>204</v>
      </c>
      <c r="G184" t="str">
        <f t="shared" si="19"/>
        <v>018</v>
      </c>
      <c r="H184" t="str">
        <f t="shared" ref="H184:H196" si="23">C184&amp;G184</f>
        <v>1791963695001018</v>
      </c>
      <c r="J184" t="e">
        <f t="shared" si="20"/>
        <v>#N/A</v>
      </c>
      <c r="K184">
        <v>0</v>
      </c>
      <c r="M184" t="e">
        <f t="shared" si="21"/>
        <v>#N/A</v>
      </c>
      <c r="N184">
        <v>0</v>
      </c>
    </row>
    <row r="185" spans="1:14" x14ac:dyDescent="0.35">
      <c r="A185">
        <v>184</v>
      </c>
      <c r="B185" s="1" t="s">
        <v>173</v>
      </c>
      <c r="C185" s="2">
        <v>992146109001</v>
      </c>
      <c r="D185" s="5">
        <v>13</v>
      </c>
      <c r="E185" s="2" t="s">
        <v>200</v>
      </c>
      <c r="F185" t="s">
        <v>206</v>
      </c>
      <c r="G185" t="str">
        <f t="shared" si="19"/>
        <v>013</v>
      </c>
      <c r="H185" t="str">
        <f t="shared" si="23"/>
        <v>992146109001013</v>
      </c>
      <c r="J185" t="e">
        <f t="shared" si="20"/>
        <v>#N/A</v>
      </c>
      <c r="K185">
        <v>0</v>
      </c>
      <c r="M185" t="e">
        <f t="shared" si="21"/>
        <v>#N/A</v>
      </c>
      <c r="N185">
        <v>0</v>
      </c>
    </row>
    <row r="186" spans="1:14" x14ac:dyDescent="0.35">
      <c r="A186">
        <v>185</v>
      </c>
      <c r="B186" s="1" t="s">
        <v>174</v>
      </c>
      <c r="C186" s="2">
        <v>1791997891001</v>
      </c>
      <c r="D186" s="5">
        <v>18</v>
      </c>
      <c r="E186" s="2" t="s">
        <v>200</v>
      </c>
      <c r="F186" t="s">
        <v>206</v>
      </c>
      <c r="G186" t="str">
        <f t="shared" si="19"/>
        <v>018</v>
      </c>
      <c r="H186" t="str">
        <f t="shared" si="23"/>
        <v>1791997891001018</v>
      </c>
      <c r="J186">
        <f t="shared" si="20"/>
        <v>21</v>
      </c>
      <c r="K186">
        <v>1</v>
      </c>
      <c r="M186">
        <f t="shared" si="21"/>
        <v>16</v>
      </c>
      <c r="N186">
        <v>1</v>
      </c>
    </row>
    <row r="187" spans="1:14" x14ac:dyDescent="0.35">
      <c r="A187">
        <v>186</v>
      </c>
      <c r="B187" s="1" t="s">
        <v>175</v>
      </c>
      <c r="C187" s="2">
        <v>1714963087001</v>
      </c>
      <c r="D187" s="5">
        <v>2</v>
      </c>
      <c r="E187" s="2" t="s">
        <v>200</v>
      </c>
      <c r="F187" s="7" t="s">
        <v>207</v>
      </c>
      <c r="G187" t="str">
        <f t="shared" si="19"/>
        <v>002</v>
      </c>
      <c r="H187" t="str">
        <f t="shared" si="23"/>
        <v>1714963087001002</v>
      </c>
      <c r="J187" t="e">
        <f t="shared" si="20"/>
        <v>#N/A</v>
      </c>
      <c r="K187">
        <v>0</v>
      </c>
      <c r="M187" t="e">
        <f t="shared" si="21"/>
        <v>#N/A</v>
      </c>
      <c r="N187">
        <v>0</v>
      </c>
    </row>
    <row r="188" spans="1:14" x14ac:dyDescent="0.35">
      <c r="A188">
        <v>187</v>
      </c>
      <c r="B188" s="1" t="s">
        <v>176</v>
      </c>
      <c r="C188" s="2">
        <v>993129496001</v>
      </c>
      <c r="D188" s="5">
        <v>5</v>
      </c>
      <c r="E188" s="2" t="s">
        <v>200</v>
      </c>
      <c r="F188" s="7" t="s">
        <v>205</v>
      </c>
      <c r="G188" t="str">
        <f t="shared" si="19"/>
        <v>005</v>
      </c>
      <c r="H188" t="str">
        <f t="shared" si="23"/>
        <v>993129496001005</v>
      </c>
      <c r="J188" t="e">
        <f t="shared" si="20"/>
        <v>#N/A</v>
      </c>
      <c r="K188">
        <v>0</v>
      </c>
      <c r="M188" t="e">
        <f t="shared" si="21"/>
        <v>#N/A</v>
      </c>
      <c r="N188">
        <v>0</v>
      </c>
    </row>
    <row r="189" spans="1:14" x14ac:dyDescent="0.35">
      <c r="A189">
        <v>188</v>
      </c>
      <c r="B189" s="1" t="s">
        <v>177</v>
      </c>
      <c r="C189" s="2">
        <v>992621702001</v>
      </c>
      <c r="D189" s="5">
        <v>9</v>
      </c>
      <c r="E189" s="2" t="s">
        <v>200</v>
      </c>
      <c r="F189" s="7" t="s">
        <v>204</v>
      </c>
      <c r="G189" t="str">
        <f t="shared" si="19"/>
        <v>009</v>
      </c>
      <c r="H189" t="str">
        <f t="shared" si="23"/>
        <v>992621702001009</v>
      </c>
      <c r="J189" t="e">
        <f t="shared" si="20"/>
        <v>#N/A</v>
      </c>
      <c r="K189">
        <v>0</v>
      </c>
      <c r="M189" t="e">
        <f t="shared" si="21"/>
        <v>#N/A</v>
      </c>
      <c r="N189">
        <v>0</v>
      </c>
    </row>
    <row r="190" spans="1:14" x14ac:dyDescent="0.35">
      <c r="A190">
        <v>189</v>
      </c>
      <c r="B190" s="1" t="s">
        <v>178</v>
      </c>
      <c r="C190" s="2">
        <v>1793158668001</v>
      </c>
      <c r="D190" s="5">
        <v>1</v>
      </c>
      <c r="E190" s="2" t="s">
        <v>200</v>
      </c>
      <c r="F190" t="s">
        <v>206</v>
      </c>
      <c r="G190" t="str">
        <f t="shared" si="19"/>
        <v>001</v>
      </c>
      <c r="H190" t="str">
        <f t="shared" si="23"/>
        <v>1793158668001001</v>
      </c>
      <c r="J190">
        <f t="shared" si="20"/>
        <v>33</v>
      </c>
      <c r="K190">
        <v>1</v>
      </c>
      <c r="M190">
        <f t="shared" si="21"/>
        <v>28</v>
      </c>
      <c r="N190">
        <v>1</v>
      </c>
    </row>
    <row r="191" spans="1:14" x14ac:dyDescent="0.35">
      <c r="A191">
        <v>190</v>
      </c>
      <c r="B191" s="1" t="s">
        <v>179</v>
      </c>
      <c r="C191" s="2">
        <v>1792022762001</v>
      </c>
      <c r="D191" s="5">
        <v>20</v>
      </c>
      <c r="E191" s="2" t="s">
        <v>200</v>
      </c>
      <c r="F191" s="7" t="s">
        <v>203</v>
      </c>
      <c r="G191" t="str">
        <f t="shared" si="19"/>
        <v>020</v>
      </c>
      <c r="H191" t="str">
        <f t="shared" si="23"/>
        <v>1792022762001020</v>
      </c>
      <c r="J191">
        <f t="shared" si="20"/>
        <v>25</v>
      </c>
      <c r="K191">
        <v>1</v>
      </c>
      <c r="M191">
        <f t="shared" si="21"/>
        <v>20</v>
      </c>
      <c r="N191">
        <v>1</v>
      </c>
    </row>
    <row r="192" spans="1:14" x14ac:dyDescent="0.35">
      <c r="A192">
        <v>191</v>
      </c>
      <c r="B192" s="1" t="s">
        <v>180</v>
      </c>
      <c r="C192" s="2">
        <v>992270020001</v>
      </c>
      <c r="D192" s="5">
        <v>9</v>
      </c>
      <c r="E192" s="2" t="s">
        <v>200</v>
      </c>
      <c r="F192" s="7" t="s">
        <v>213</v>
      </c>
      <c r="G192" t="str">
        <f t="shared" si="19"/>
        <v>009</v>
      </c>
      <c r="H192" t="str">
        <f t="shared" si="23"/>
        <v>992270020001009</v>
      </c>
      <c r="J192" t="e">
        <f t="shared" si="20"/>
        <v>#N/A</v>
      </c>
      <c r="K192">
        <v>0</v>
      </c>
      <c r="M192" t="e">
        <f t="shared" si="21"/>
        <v>#N/A</v>
      </c>
      <c r="N192">
        <v>0</v>
      </c>
    </row>
    <row r="193" spans="1:14" x14ac:dyDescent="0.35">
      <c r="A193">
        <v>192</v>
      </c>
      <c r="B193" s="1" t="s">
        <v>181</v>
      </c>
      <c r="C193" s="2">
        <v>1790896544001</v>
      </c>
      <c r="D193" s="5">
        <v>10</v>
      </c>
      <c r="E193" s="2" t="s">
        <v>200</v>
      </c>
      <c r="F193" s="7" t="s">
        <v>211</v>
      </c>
      <c r="G193" t="str">
        <f t="shared" si="19"/>
        <v>010</v>
      </c>
      <c r="H193" t="str">
        <f t="shared" si="23"/>
        <v>1790896544001010</v>
      </c>
      <c r="J193" t="e">
        <f t="shared" si="20"/>
        <v>#N/A</v>
      </c>
      <c r="K193">
        <v>0</v>
      </c>
      <c r="M193">
        <f t="shared" si="21"/>
        <v>42</v>
      </c>
      <c r="N193">
        <v>1</v>
      </c>
    </row>
    <row r="194" spans="1:14" x14ac:dyDescent="0.35">
      <c r="A194">
        <v>193</v>
      </c>
      <c r="B194" s="1" t="s">
        <v>182</v>
      </c>
      <c r="C194" s="2">
        <v>1791836979001</v>
      </c>
      <c r="D194" s="5">
        <v>29</v>
      </c>
      <c r="E194" s="2" t="s">
        <v>200</v>
      </c>
      <c r="F194" s="7" t="s">
        <v>204</v>
      </c>
      <c r="G194" t="str">
        <f t="shared" si="19"/>
        <v>029</v>
      </c>
      <c r="H194" t="str">
        <f t="shared" si="23"/>
        <v>1791836979001029</v>
      </c>
      <c r="J194" t="e">
        <f t="shared" si="20"/>
        <v>#N/A</v>
      </c>
      <c r="K194">
        <v>0</v>
      </c>
      <c r="M194" t="e">
        <f t="shared" si="21"/>
        <v>#N/A</v>
      </c>
      <c r="N194">
        <v>0</v>
      </c>
    </row>
    <row r="195" spans="1:14" x14ac:dyDescent="0.35">
      <c r="A195">
        <v>194</v>
      </c>
      <c r="B195" s="1" t="s">
        <v>183</v>
      </c>
      <c r="C195" s="2">
        <v>992653884001</v>
      </c>
      <c r="D195" s="5">
        <v>12</v>
      </c>
      <c r="E195" s="2" t="s">
        <v>200</v>
      </c>
      <c r="F195" s="7" t="s">
        <v>204</v>
      </c>
      <c r="G195" t="str">
        <f t="shared" si="19"/>
        <v>012</v>
      </c>
      <c r="H195" t="str">
        <f t="shared" si="23"/>
        <v>992653884001012</v>
      </c>
      <c r="J195" t="e">
        <f t="shared" si="20"/>
        <v>#N/A</v>
      </c>
      <c r="K195">
        <v>0</v>
      </c>
      <c r="M195" t="e">
        <f t="shared" si="21"/>
        <v>#N/A</v>
      </c>
      <c r="N195">
        <v>0</v>
      </c>
    </row>
    <row r="196" spans="1:14" x14ac:dyDescent="0.35">
      <c r="A196">
        <v>195</v>
      </c>
      <c r="B196" s="1" t="s">
        <v>184</v>
      </c>
      <c r="C196" s="2">
        <v>1791774299001</v>
      </c>
      <c r="D196" s="5">
        <v>2</v>
      </c>
      <c r="E196" s="2" t="s">
        <v>200</v>
      </c>
      <c r="F196" s="7" t="s">
        <v>207</v>
      </c>
      <c r="G196" t="str">
        <f t="shared" ref="G196:G205" si="24">TEXT(D196,"000")</f>
        <v>002</v>
      </c>
      <c r="H196" t="str">
        <f t="shared" si="23"/>
        <v>1791774299001002</v>
      </c>
      <c r="J196" t="e">
        <f t="shared" ref="J196:J205" si="25">MATCH(H196,$I$2:$I$36,0)</f>
        <v>#N/A</v>
      </c>
      <c r="K196">
        <v>0</v>
      </c>
      <c r="M196" t="e">
        <f t="shared" ref="M196:M205" si="26">MATCH(H196,$L$2:$L$62,0)</f>
        <v>#N/A</v>
      </c>
      <c r="N196">
        <v>0</v>
      </c>
    </row>
    <row r="197" spans="1:14" x14ac:dyDescent="0.35">
      <c r="A197">
        <v>196</v>
      </c>
      <c r="B197" s="1" t="s">
        <v>185</v>
      </c>
      <c r="C197" s="2">
        <v>993041408001</v>
      </c>
      <c r="D197" s="5" t="s">
        <v>199</v>
      </c>
      <c r="E197" s="2" t="s">
        <v>200</v>
      </c>
      <c r="F197" s="7" t="s">
        <v>204</v>
      </c>
      <c r="G197" t="str">
        <f t="shared" si="24"/>
        <v>NO HAY</v>
      </c>
      <c r="J197" t="e">
        <f t="shared" si="25"/>
        <v>#N/A</v>
      </c>
      <c r="K197">
        <v>0</v>
      </c>
      <c r="M197" t="e">
        <f t="shared" si="26"/>
        <v>#N/A</v>
      </c>
      <c r="N197">
        <v>0</v>
      </c>
    </row>
    <row r="198" spans="1:14" x14ac:dyDescent="0.35">
      <c r="A198">
        <v>197</v>
      </c>
      <c r="B198" s="1" t="s">
        <v>186</v>
      </c>
      <c r="C198" s="2">
        <v>1714148929001</v>
      </c>
      <c r="D198" s="5">
        <v>6</v>
      </c>
      <c r="E198" s="2" t="s">
        <v>200</v>
      </c>
      <c r="F198" s="7" t="s">
        <v>213</v>
      </c>
      <c r="G198" t="str">
        <f t="shared" si="24"/>
        <v>006</v>
      </c>
      <c r="H198" t="str">
        <f t="shared" ref="H198:H205" si="27">C198&amp;G198</f>
        <v>1714148929001006</v>
      </c>
      <c r="J198" t="e">
        <f t="shared" si="25"/>
        <v>#N/A</v>
      </c>
      <c r="K198">
        <v>0</v>
      </c>
      <c r="M198" t="e">
        <f t="shared" si="26"/>
        <v>#N/A</v>
      </c>
      <c r="N198">
        <v>0</v>
      </c>
    </row>
    <row r="199" spans="1:14" x14ac:dyDescent="0.35">
      <c r="A199">
        <v>198</v>
      </c>
      <c r="B199" s="1" t="s">
        <v>219</v>
      </c>
      <c r="C199" s="2">
        <v>992155272001</v>
      </c>
      <c r="D199" s="5">
        <v>24</v>
      </c>
      <c r="E199" s="2" t="s">
        <v>200</v>
      </c>
      <c r="F199" s="7" t="s">
        <v>203</v>
      </c>
      <c r="G199" t="str">
        <f t="shared" si="24"/>
        <v>024</v>
      </c>
      <c r="H199" t="str">
        <f t="shared" si="27"/>
        <v>992155272001024</v>
      </c>
      <c r="J199">
        <f t="shared" si="25"/>
        <v>4</v>
      </c>
      <c r="K199">
        <v>1</v>
      </c>
      <c r="M199">
        <f t="shared" si="26"/>
        <v>4</v>
      </c>
      <c r="N199">
        <v>1</v>
      </c>
    </row>
    <row r="200" spans="1:14" x14ac:dyDescent="0.35">
      <c r="A200">
        <v>199</v>
      </c>
      <c r="B200" s="1" t="s">
        <v>187</v>
      </c>
      <c r="C200" s="2">
        <v>991286403001</v>
      </c>
      <c r="D200" s="5">
        <v>5</v>
      </c>
      <c r="E200" s="2" t="s">
        <v>201</v>
      </c>
      <c r="F200" s="7" t="s">
        <v>207</v>
      </c>
      <c r="G200" t="str">
        <f t="shared" si="24"/>
        <v>005</v>
      </c>
      <c r="H200" t="str">
        <f t="shared" si="27"/>
        <v>991286403001005</v>
      </c>
      <c r="J200" t="e">
        <f t="shared" si="25"/>
        <v>#N/A</v>
      </c>
      <c r="K200">
        <v>0</v>
      </c>
      <c r="M200" t="e">
        <f t="shared" si="26"/>
        <v>#N/A</v>
      </c>
      <c r="N200">
        <v>0</v>
      </c>
    </row>
    <row r="201" spans="1:14" x14ac:dyDescent="0.35">
      <c r="A201">
        <v>200</v>
      </c>
      <c r="B201" s="1" t="s">
        <v>188</v>
      </c>
      <c r="C201" s="2">
        <v>1792407893001</v>
      </c>
      <c r="D201" s="5">
        <v>11</v>
      </c>
      <c r="E201" s="2" t="s">
        <v>200</v>
      </c>
      <c r="F201" s="7" t="s">
        <v>208</v>
      </c>
      <c r="G201" t="str">
        <f t="shared" si="24"/>
        <v>011</v>
      </c>
      <c r="H201" t="str">
        <f t="shared" si="27"/>
        <v>1792407893001011</v>
      </c>
      <c r="J201" t="e">
        <f t="shared" si="25"/>
        <v>#N/A</v>
      </c>
      <c r="K201">
        <v>0</v>
      </c>
      <c r="M201" t="e">
        <f t="shared" si="26"/>
        <v>#N/A</v>
      </c>
      <c r="N201">
        <v>0</v>
      </c>
    </row>
    <row r="202" spans="1:14" x14ac:dyDescent="0.35">
      <c r="A202">
        <v>201</v>
      </c>
      <c r="B202" s="1" t="s">
        <v>189</v>
      </c>
      <c r="C202" s="2">
        <v>1793140238001</v>
      </c>
      <c r="D202" s="5">
        <v>13</v>
      </c>
      <c r="E202" s="2" t="s">
        <v>200</v>
      </c>
      <c r="F202" t="s">
        <v>206</v>
      </c>
      <c r="G202" t="str">
        <f t="shared" si="24"/>
        <v>013</v>
      </c>
      <c r="H202" t="str">
        <f t="shared" si="27"/>
        <v>1793140238001013</v>
      </c>
      <c r="J202">
        <f t="shared" si="25"/>
        <v>32</v>
      </c>
      <c r="K202">
        <v>1</v>
      </c>
      <c r="M202">
        <f t="shared" si="26"/>
        <v>27</v>
      </c>
      <c r="N202">
        <v>1</v>
      </c>
    </row>
    <row r="203" spans="1:14" x14ac:dyDescent="0.35">
      <c r="A203">
        <v>202</v>
      </c>
      <c r="B203" s="1" t="s">
        <v>190</v>
      </c>
      <c r="C203" s="2">
        <v>1793102174001</v>
      </c>
      <c r="D203" s="5">
        <v>4</v>
      </c>
      <c r="E203" s="2" t="s">
        <v>200</v>
      </c>
      <c r="F203" s="7" t="s">
        <v>208</v>
      </c>
      <c r="G203" t="str">
        <f t="shared" si="24"/>
        <v>004</v>
      </c>
      <c r="H203" t="str">
        <f t="shared" si="27"/>
        <v>1793102174001004</v>
      </c>
      <c r="J203" t="e">
        <f t="shared" si="25"/>
        <v>#N/A</v>
      </c>
      <c r="K203">
        <v>0</v>
      </c>
      <c r="M203" t="e">
        <f t="shared" si="26"/>
        <v>#N/A</v>
      </c>
      <c r="N203">
        <v>0</v>
      </c>
    </row>
    <row r="204" spans="1:14" x14ac:dyDescent="0.35">
      <c r="A204">
        <v>203</v>
      </c>
      <c r="B204" s="1" t="s">
        <v>191</v>
      </c>
      <c r="C204" s="2">
        <v>1792363578001</v>
      </c>
      <c r="D204" s="5">
        <v>2</v>
      </c>
      <c r="E204" s="2" t="s">
        <v>200</v>
      </c>
      <c r="F204" t="s">
        <v>206</v>
      </c>
      <c r="G204" t="str">
        <f t="shared" si="24"/>
        <v>002</v>
      </c>
      <c r="H204" t="str">
        <f t="shared" si="27"/>
        <v>1792363578001002</v>
      </c>
      <c r="J204" t="e">
        <f t="shared" si="25"/>
        <v>#N/A</v>
      </c>
      <c r="K204">
        <v>0</v>
      </c>
      <c r="M204" t="e">
        <f t="shared" si="26"/>
        <v>#N/A</v>
      </c>
      <c r="N204">
        <v>0</v>
      </c>
    </row>
    <row r="205" spans="1:14" x14ac:dyDescent="0.35">
      <c r="A205">
        <v>204</v>
      </c>
      <c r="B205" s="1" t="s">
        <v>192</v>
      </c>
      <c r="C205" s="2">
        <v>1792701775001</v>
      </c>
      <c r="D205" s="5">
        <v>3</v>
      </c>
      <c r="E205" s="2" t="s">
        <v>200</v>
      </c>
      <c r="F205" s="7" t="s">
        <v>208</v>
      </c>
      <c r="G205" t="str">
        <f t="shared" si="24"/>
        <v>003</v>
      </c>
      <c r="H205" t="str">
        <f t="shared" si="27"/>
        <v>1792701775001003</v>
      </c>
      <c r="J205" t="e">
        <f t="shared" si="25"/>
        <v>#N/A</v>
      </c>
      <c r="K205">
        <v>0</v>
      </c>
      <c r="M205" t="e">
        <f t="shared" si="26"/>
        <v>#N/A</v>
      </c>
      <c r="N205">
        <v>0</v>
      </c>
    </row>
  </sheetData>
  <autoFilter ref="A1:N205" xr:uid="{2DF3D81D-296D-4D38-A7E0-2A605C99F8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Radar Segundo</dc:creator>
  <cp:lastModifiedBy>Angel Gaibor</cp:lastModifiedBy>
  <dcterms:created xsi:type="dcterms:W3CDTF">2024-07-18T15:04:01Z</dcterms:created>
  <dcterms:modified xsi:type="dcterms:W3CDTF">2026-02-04T20:02:52Z</dcterms:modified>
</cp:coreProperties>
</file>
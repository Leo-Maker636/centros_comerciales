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obertura Centros Comerciales/"/>
    </mc:Choice>
  </mc:AlternateContent>
  <xr:revisionPtr revIDLastSave="573" documentId="8_{A19DC9C8-B991-4628-BAE7-69ED29E549B4}" xr6:coauthVersionLast="47" xr6:coauthVersionMax="47" xr10:uidLastSave="{E51FB401-7C3D-491F-98DE-A7AA4398A434}"/>
  <bookViews>
    <workbookView xWindow="-110" yWindow="-110" windowWidth="19420" windowHeight="11500" xr2:uid="{1B69227C-27DC-45B6-A6E4-B03A44587C3D}"/>
  </bookViews>
  <sheets>
    <sheet name="Hoja1" sheetId="1" r:id="rId1"/>
  </sheets>
  <definedNames>
    <definedName name="_xlnm._FilterDatabase" localSheetId="0" hidden="1">Hoja1!$A$1:$J$199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" l="1"/>
  <c r="G119" i="1" s="1"/>
  <c r="F27" i="1"/>
  <c r="G27" i="1" s="1"/>
  <c r="F2" i="1"/>
  <c r="F3" i="1" l="1"/>
  <c r="G3" i="1" s="1"/>
  <c r="F4" i="1"/>
  <c r="F5" i="1"/>
  <c r="G5" i="1" s="1"/>
  <c r="F6" i="1"/>
  <c r="F7" i="1"/>
  <c r="G7" i="1" s="1"/>
  <c r="F72" i="1"/>
  <c r="G72" i="1" s="1"/>
  <c r="F8" i="1"/>
  <c r="G8" i="1" s="1"/>
  <c r="F88" i="1"/>
  <c r="G88" i="1" s="1"/>
  <c r="F9" i="1"/>
  <c r="G9" i="1" s="1"/>
  <c r="F10" i="1"/>
  <c r="G10" i="1" s="1"/>
  <c r="F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2" i="1"/>
  <c r="G22" i="1" s="1"/>
  <c r="F24" i="1"/>
  <c r="G24" i="1" s="1"/>
  <c r="F25" i="1"/>
  <c r="G25" i="1" s="1"/>
  <c r="F26" i="1"/>
  <c r="G26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2" i="1"/>
  <c r="G42" i="1" s="1"/>
  <c r="F45" i="1"/>
  <c r="G45" i="1" s="1"/>
  <c r="F46" i="1"/>
  <c r="F47" i="1"/>
  <c r="G47" i="1" s="1"/>
  <c r="F48" i="1"/>
  <c r="G48" i="1" s="1"/>
  <c r="F49" i="1"/>
  <c r="G49" i="1" s="1"/>
  <c r="F50" i="1"/>
  <c r="G50" i="1" s="1"/>
  <c r="F51" i="1"/>
  <c r="G51" i="1" s="1"/>
  <c r="F52" i="1"/>
  <c r="F53" i="1"/>
  <c r="G53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F63" i="1"/>
  <c r="F64" i="1"/>
  <c r="G64" i="1" s="1"/>
  <c r="F65" i="1"/>
  <c r="G65" i="1" s="1"/>
  <c r="F66" i="1"/>
  <c r="F67" i="1"/>
  <c r="G67" i="1" s="1"/>
  <c r="F68" i="1"/>
  <c r="G68" i="1" s="1"/>
  <c r="F69" i="1"/>
  <c r="F70" i="1"/>
  <c r="G70" i="1" s="1"/>
  <c r="F71" i="1"/>
  <c r="G71" i="1" s="1"/>
  <c r="F73" i="1"/>
  <c r="G73" i="1" s="1"/>
  <c r="F74" i="1"/>
  <c r="G74" i="1" s="1"/>
  <c r="F75" i="1"/>
  <c r="G75" i="1" s="1"/>
  <c r="F76" i="1"/>
  <c r="G76" i="1" s="1"/>
  <c r="F103" i="1"/>
  <c r="G103" i="1" s="1"/>
  <c r="F77" i="1"/>
  <c r="G77" i="1" s="1"/>
  <c r="F78" i="1"/>
  <c r="G78" i="1" s="1"/>
  <c r="F177" i="1"/>
  <c r="G177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3" i="1"/>
  <c r="F114" i="1"/>
  <c r="G114" i="1" s="1"/>
  <c r="F115" i="1"/>
  <c r="G115" i="1" s="1"/>
  <c r="F116" i="1"/>
  <c r="G116" i="1" s="1"/>
  <c r="F117" i="1"/>
  <c r="G117" i="1" s="1"/>
  <c r="F118" i="1"/>
  <c r="G118" i="1" s="1"/>
  <c r="F120" i="1"/>
  <c r="G120" i="1" s="1"/>
  <c r="F121" i="1"/>
  <c r="G121" i="1" s="1"/>
  <c r="F122" i="1"/>
  <c r="G122" i="1" s="1"/>
  <c r="F123" i="1"/>
  <c r="G123" i="1" s="1"/>
  <c r="F124" i="1"/>
  <c r="F125" i="1"/>
  <c r="G125" i="1" s="1"/>
  <c r="F126" i="1"/>
  <c r="G126" i="1" s="1"/>
  <c r="F127" i="1"/>
  <c r="G127" i="1" s="1"/>
  <c r="F128" i="1"/>
  <c r="F129" i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1" i="1"/>
  <c r="G161" i="1" s="1"/>
  <c r="F163" i="1"/>
  <c r="G163" i="1" s="1"/>
  <c r="F164" i="1"/>
  <c r="G164" i="1" s="1"/>
  <c r="F165" i="1"/>
  <c r="G165" i="1" s="1"/>
  <c r="F166" i="1"/>
  <c r="G166" i="1" s="1"/>
  <c r="F168" i="1"/>
  <c r="F169" i="1"/>
  <c r="G169" i="1" s="1"/>
  <c r="F170" i="1"/>
  <c r="G170" i="1" s="1"/>
  <c r="F172" i="1"/>
  <c r="G172" i="1" s="1"/>
  <c r="F173" i="1"/>
  <c r="G173" i="1" s="1"/>
  <c r="F174" i="1"/>
  <c r="G174" i="1" s="1"/>
  <c r="F175" i="1"/>
  <c r="G175" i="1" s="1"/>
  <c r="F176" i="1"/>
  <c r="G176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F188" i="1"/>
  <c r="F189" i="1"/>
  <c r="G189" i="1" s="1"/>
  <c r="F190" i="1"/>
  <c r="G190" i="1" s="1"/>
  <c r="F191" i="1"/>
  <c r="G191" i="1" s="1"/>
  <c r="F192" i="1"/>
  <c r="G192" i="1" s="1"/>
  <c r="F194" i="1"/>
  <c r="G194" i="1" s="1"/>
  <c r="F193" i="1"/>
  <c r="G193" i="1" s="1"/>
  <c r="F195" i="1"/>
  <c r="G195" i="1" s="1"/>
  <c r="F196" i="1"/>
  <c r="G196" i="1" s="1"/>
  <c r="F197" i="1"/>
  <c r="G197" i="1" s="1"/>
  <c r="F198" i="1"/>
  <c r="G198" i="1" s="1"/>
  <c r="F199" i="1"/>
  <c r="G199" i="1" s="1"/>
  <c r="F43" i="1"/>
  <c r="G43" i="1" s="1"/>
  <c r="F112" i="1"/>
  <c r="G112" i="1" s="1"/>
  <c r="F86" i="1"/>
  <c r="G86" i="1" s="1"/>
  <c r="F41" i="1"/>
  <c r="G41" i="1" s="1"/>
  <c r="F162" i="1"/>
  <c r="G162" i="1" s="1"/>
  <c r="F23" i="1"/>
  <c r="G23" i="1" s="1"/>
  <c r="F21" i="1"/>
  <c r="G21" i="1" s="1"/>
  <c r="F167" i="1"/>
  <c r="F28" i="1"/>
  <c r="F87" i="1"/>
  <c r="F160" i="1"/>
  <c r="G160" i="1" s="1"/>
  <c r="F44" i="1"/>
  <c r="G44" i="1" s="1"/>
  <c r="F171" i="1"/>
  <c r="G171" i="1" s="1"/>
  <c r="F54" i="1"/>
  <c r="G54" i="1" s="1"/>
  <c r="G2" i="1"/>
</calcChain>
</file>

<file path=xl/sharedStrings.xml><?xml version="1.0" encoding="utf-8"?>
<sst xmlns="http://schemas.openxmlformats.org/spreadsheetml/2006/main" count="1055" uniqueCount="404">
  <si>
    <t>num</t>
  </si>
  <si>
    <t>RUC</t>
  </si>
  <si>
    <t>ACCESORIOS CELULARES</t>
  </si>
  <si>
    <t>1792454700001</t>
  </si>
  <si>
    <t xml:space="preserve">ACIUM </t>
  </si>
  <si>
    <t>1793194235001</t>
  </si>
  <si>
    <t>ADIDAS</t>
  </si>
  <si>
    <t>1790391795001</t>
  </si>
  <si>
    <t>ADRISSA</t>
  </si>
  <si>
    <t>1792502527001</t>
  </si>
  <si>
    <t>AEROPOSTAL</t>
  </si>
  <si>
    <t>1091727443001</t>
  </si>
  <si>
    <t>ALDO</t>
  </si>
  <si>
    <t>1792278791001</t>
  </si>
  <si>
    <t>1791409167001</t>
  </si>
  <si>
    <t>ALMACENES BANDA</t>
  </si>
  <si>
    <t>1790622207001</t>
  </si>
  <si>
    <t>AMERICAN CLASSICS</t>
  </si>
  <si>
    <t>AMERICAN DELI</t>
  </si>
  <si>
    <t>1792072018001</t>
  </si>
  <si>
    <t>ANETA</t>
  </si>
  <si>
    <t>1790349578001</t>
  </si>
  <si>
    <t>BANCO AUSTRO- y ATM B. AUSTRO</t>
  </si>
  <si>
    <t>BANCO BOLIVARIANO</t>
  </si>
  <si>
    <t>BANCO DE GUAYAQUIL</t>
  </si>
  <si>
    <t>BANCO DEL PACIFICO</t>
  </si>
  <si>
    <t>1790098354001</t>
  </si>
  <si>
    <t>BANCO PICHINCHA - LOCAL Y CAJERO</t>
  </si>
  <si>
    <t>1790010937001</t>
  </si>
  <si>
    <t>BANCO SOLIDARIO</t>
  </si>
  <si>
    <t xml:space="preserve">1791109384001 </t>
  </si>
  <si>
    <t xml:space="preserve">BASKIN ROBBINS </t>
  </si>
  <si>
    <t>BATA</t>
  </si>
  <si>
    <t>1790322831001</t>
  </si>
  <si>
    <t>BERSHKA</t>
  </si>
  <si>
    <t>1792342783001</t>
  </si>
  <si>
    <t>BUFFALOS</t>
  </si>
  <si>
    <t>1792003881001</t>
  </si>
  <si>
    <t>CAJUN</t>
  </si>
  <si>
    <t>CALL IT SPRING</t>
  </si>
  <si>
    <t>CALZADO BIBI</t>
  </si>
  <si>
    <t>1793001882001</t>
  </si>
  <si>
    <t>CAMISERIA INGLESA</t>
  </si>
  <si>
    <t>1790608654001</t>
  </si>
  <si>
    <t>CAMPERO</t>
  </si>
  <si>
    <t>1791997891001</t>
  </si>
  <si>
    <t>CASA BRASIL</t>
  </si>
  <si>
    <t>CASA RES</t>
  </si>
  <si>
    <t>1792049504001</t>
  </si>
  <si>
    <t>CASABACA TOYOTA- TALLERES</t>
  </si>
  <si>
    <t>1790009459001</t>
  </si>
  <si>
    <t>CEBICHES DE LA RUMIÑAHUI</t>
  </si>
  <si>
    <t>1712935426001</t>
  </si>
  <si>
    <t>CEVICHERIA GUAYACA</t>
  </si>
  <si>
    <t>1792878195001</t>
  </si>
  <si>
    <t>CH FARINA</t>
  </si>
  <si>
    <t>1790527085001</t>
  </si>
  <si>
    <t>CHAIDE  y TEMPUR</t>
  </si>
  <si>
    <t>1790241483001</t>
  </si>
  <si>
    <t>CHEVROLET PROAUTO - TALLERES</t>
  </si>
  <si>
    <t>1790978303001</t>
  </si>
  <si>
    <t>CLARO</t>
  </si>
  <si>
    <t>1791251237001</t>
  </si>
  <si>
    <t>CLARO ANTENAS</t>
  </si>
  <si>
    <t>CLEANEXPRESS</t>
  </si>
  <si>
    <t>1792097231001</t>
  </si>
  <si>
    <t>CNT LOCAL y ANTENAS</t>
  </si>
  <si>
    <t>1768152560001</t>
  </si>
  <si>
    <t>COMPUTRON</t>
  </si>
  <si>
    <t>CONVERSE</t>
  </si>
  <si>
    <t>1792436176001</t>
  </si>
  <si>
    <t>COOK - INSUMOS</t>
  </si>
  <si>
    <t>1790567699001</t>
  </si>
  <si>
    <t>CORPORACION EUGENIO ESPEJO</t>
  </si>
  <si>
    <t>1792189616001</t>
  </si>
  <si>
    <t xml:space="preserve">CREPES &amp; WAFFLES </t>
  </si>
  <si>
    <t>1791274156001</t>
  </si>
  <si>
    <t>CROCS</t>
  </si>
  <si>
    <t>1791894499001</t>
  </si>
  <si>
    <t>CYRANO</t>
  </si>
  <si>
    <t>1790037126001</t>
  </si>
  <si>
    <t>D BOND</t>
  </si>
  <si>
    <t>1791354419001</t>
  </si>
  <si>
    <t>DELBANK</t>
  </si>
  <si>
    <t>DENTAL SI</t>
  </si>
  <si>
    <t>1793191101001</t>
  </si>
  <si>
    <t xml:space="preserve">DEPRATI </t>
  </si>
  <si>
    <t>DIRECTV - ALTPOWER</t>
  </si>
  <si>
    <t>1792302943001</t>
  </si>
  <si>
    <t xml:space="preserve">DOLCE INCONTRO </t>
  </si>
  <si>
    <t>DONUT EXPRESS</t>
  </si>
  <si>
    <t>1792471486001</t>
  </si>
  <si>
    <t>EL ESPAÑOL</t>
  </si>
  <si>
    <t>EPMAPS- AGUA POTABLE Y SANEAMIENTO</t>
  </si>
  <si>
    <t>1768154260001</t>
  </si>
  <si>
    <t>EQUIPOS COTOPAXI</t>
  </si>
  <si>
    <t>1713377172001</t>
  </si>
  <si>
    <t>ES PRINT PLOTTER</t>
  </si>
  <si>
    <t>1720778768001</t>
  </si>
  <si>
    <t xml:space="preserve">ESPRIT </t>
  </si>
  <si>
    <t>ETAFASHION</t>
  </si>
  <si>
    <t>1790985504001</t>
  </si>
  <si>
    <t>EXPLORER</t>
  </si>
  <si>
    <t>1791413237001</t>
  </si>
  <si>
    <t>FIVE STARS</t>
  </si>
  <si>
    <t>1792456851001</t>
  </si>
  <si>
    <t>FUN RIDES</t>
  </si>
  <si>
    <t>1900026475001</t>
  </si>
  <si>
    <t>FUNKY FISH</t>
  </si>
  <si>
    <t>1790027791001</t>
  </si>
  <si>
    <t>FYBECA</t>
  </si>
  <si>
    <t>1790710319001</t>
  </si>
  <si>
    <t>LABORATORIO DE DEXTER (GALERIA CELULAR)</t>
  </si>
  <si>
    <t>1760345775001</t>
  </si>
  <si>
    <t>GAMES &amp; GAMES</t>
  </si>
  <si>
    <t>1710682616001</t>
  </si>
  <si>
    <t>GLOW</t>
  </si>
  <si>
    <t>SYF</t>
  </si>
  <si>
    <t>GO GREEN</t>
  </si>
  <si>
    <t>1792374995001</t>
  </si>
  <si>
    <t>HANSEL Y GRETEL</t>
  </si>
  <si>
    <t>HAPPY MOMENTS BOLOS CONDADO</t>
  </si>
  <si>
    <t>1792873223001</t>
  </si>
  <si>
    <t>HAPPY TIME</t>
  </si>
  <si>
    <t>1793191201001</t>
  </si>
  <si>
    <t>HEAD</t>
  </si>
  <si>
    <t>1391856792001</t>
  </si>
  <si>
    <t>HYUNDAI-LOCAL-TALLERES</t>
  </si>
  <si>
    <t>IL CAPPO DI MANGI</t>
  </si>
  <si>
    <t>JOAN STEVENS</t>
  </si>
  <si>
    <t>1704911500001</t>
  </si>
  <si>
    <t>JOMATIK (fossil)</t>
  </si>
  <si>
    <t>JOYERIA CASTRO</t>
  </si>
  <si>
    <t>1711193951001</t>
  </si>
  <si>
    <t>JUAN MARCET</t>
  </si>
  <si>
    <t>JUAN VALDEZ</t>
  </si>
  <si>
    <t>1792141486001</t>
  </si>
  <si>
    <t xml:space="preserve">JUGUETON </t>
  </si>
  <si>
    <t>1790016919001</t>
  </si>
  <si>
    <t>KAO SPORT CENTER</t>
  </si>
  <si>
    <t>1792190851001</t>
  </si>
  <si>
    <t>KFC</t>
  </si>
  <si>
    <t>1791415132001</t>
  </si>
  <si>
    <t>1791754115001</t>
  </si>
  <si>
    <t xml:space="preserve">KOAJ </t>
  </si>
  <si>
    <t>1791940105001</t>
  </si>
  <si>
    <t>1792256267001</t>
  </si>
  <si>
    <t xml:space="preserve">KONICA DIGITAL PHOTO EXPRESS </t>
  </si>
  <si>
    <t>1790236218001</t>
  </si>
  <si>
    <t xml:space="preserve">LA MINA </t>
  </si>
  <si>
    <t>1712512597001</t>
  </si>
  <si>
    <t>LA VECINDAD DE LOS CUATES</t>
  </si>
  <si>
    <t>1792510457001</t>
  </si>
  <si>
    <t>LADO BUENO</t>
  </si>
  <si>
    <t>1792539501001</t>
  </si>
  <si>
    <t>LAIART CUENCA</t>
  </si>
  <si>
    <t>1754705646001</t>
  </si>
  <si>
    <t>LAS FRAGANCIAS</t>
  </si>
  <si>
    <t>LEE</t>
  </si>
  <si>
    <t>1790994708001</t>
  </si>
  <si>
    <t>LEONISA</t>
  </si>
  <si>
    <t>1791249879001</t>
  </si>
  <si>
    <t>LILI PINK</t>
  </si>
  <si>
    <t>1791915313001</t>
  </si>
  <si>
    <t>MAQUINA VENDING MACHINES- JUGUETES</t>
  </si>
  <si>
    <t>1791771117001</t>
  </si>
  <si>
    <t>MARATHON SPORT</t>
  </si>
  <si>
    <t>MARTINIZING-EL SASTRE HEEL QUICK y BODEGA</t>
  </si>
  <si>
    <t>1790397815001</t>
  </si>
  <si>
    <t>MASAJE EXPRESS</t>
  </si>
  <si>
    <t>1712738994001</t>
  </si>
  <si>
    <t>MAXITEC</t>
  </si>
  <si>
    <t>1791284321001</t>
  </si>
  <si>
    <t>MAYFLOWER</t>
  </si>
  <si>
    <t>MC DONALDS</t>
  </si>
  <si>
    <t>1791308832001</t>
  </si>
  <si>
    <t>MEDIAS ROLAND</t>
  </si>
  <si>
    <t>MIKROTOYS</t>
  </si>
  <si>
    <t>1002698171001</t>
  </si>
  <si>
    <t xml:space="preserve">MIX TWO </t>
  </si>
  <si>
    <t>1792397561001</t>
  </si>
  <si>
    <t>MOGGA</t>
  </si>
  <si>
    <t>1726461443001</t>
  </si>
  <si>
    <t xml:space="preserve">MONTERO </t>
  </si>
  <si>
    <t>1792144566001</t>
  </si>
  <si>
    <t>MOTES DE LA MAGDALENA</t>
  </si>
  <si>
    <t>1701284570001</t>
  </si>
  <si>
    <t>MOVISTAR</t>
  </si>
  <si>
    <t>1791256115001</t>
  </si>
  <si>
    <t>MOVISTAR ANTENAS</t>
  </si>
  <si>
    <t>1792812585001</t>
  </si>
  <si>
    <t>1791397339001</t>
  </si>
  <si>
    <t>MR JOY</t>
  </si>
  <si>
    <t>1792379253001</t>
  </si>
  <si>
    <t xml:space="preserve">MULTICINES </t>
  </si>
  <si>
    <t>1791309863001</t>
  </si>
  <si>
    <t>MUMUSO</t>
  </si>
  <si>
    <t>MUNDO DISPLAY LABORATORIOS</t>
  </si>
  <si>
    <t>1793160921001</t>
  </si>
  <si>
    <t>MUTUALISTA PICHINCHA</t>
  </si>
  <si>
    <t>1790075494001</t>
  </si>
  <si>
    <t>MYCASE (MOBILE ACCESSORIES)</t>
  </si>
  <si>
    <t>1792423309001</t>
  </si>
  <si>
    <t>NAF NAF</t>
  </si>
  <si>
    <t>1793178650001</t>
  </si>
  <si>
    <t>NETLIFE</t>
  </si>
  <si>
    <t>1791287541001</t>
  </si>
  <si>
    <t>NOE SUSHI BAR-KOBE by NOE</t>
  </si>
  <si>
    <t>NOPERTI</t>
  </si>
  <si>
    <t>1790007871001</t>
  </si>
  <si>
    <t>ONLY NATURAL</t>
  </si>
  <si>
    <t>OPTICA LOS ANDES</t>
  </si>
  <si>
    <t>1790558886001</t>
  </si>
  <si>
    <t>OPTICAS GMO</t>
  </si>
  <si>
    <t>ORVE HOGAR</t>
  </si>
  <si>
    <t>PANDORA</t>
  </si>
  <si>
    <t>1792879477001</t>
  </si>
  <si>
    <t>PARFOIS</t>
  </si>
  <si>
    <t>PAT PRIMO</t>
  </si>
  <si>
    <t>1791253787001</t>
  </si>
  <si>
    <t>PAYLESS SHOES</t>
  </si>
  <si>
    <t>1791807529001</t>
  </si>
  <si>
    <t>1793198913001</t>
  </si>
  <si>
    <t>1793198907001</t>
  </si>
  <si>
    <t>PHARMACYS</t>
  </si>
  <si>
    <t>PICAL</t>
  </si>
  <si>
    <t>PICCADILLY</t>
  </si>
  <si>
    <t xml:space="preserve">PINTO y PINTO KIDS </t>
  </si>
  <si>
    <t>1090033944001</t>
  </si>
  <si>
    <t xml:space="preserve">PIZZA HUT </t>
  </si>
  <si>
    <t>1790646483001</t>
  </si>
  <si>
    <t>PONTI</t>
  </si>
  <si>
    <t>1793149316001</t>
  </si>
  <si>
    <t>PRODUBANCO</t>
  </si>
  <si>
    <t>1790368718001</t>
  </si>
  <si>
    <t>PULL &amp; BEAR</t>
  </si>
  <si>
    <t>1792343178001</t>
  </si>
  <si>
    <t>PUMA</t>
  </si>
  <si>
    <t>PYCCA</t>
  </si>
  <si>
    <t>RESIFLEX</t>
  </si>
  <si>
    <t>1793185193001</t>
  </si>
  <si>
    <t>RG ACCESSORIES</t>
  </si>
  <si>
    <t>1712908530001</t>
  </si>
  <si>
    <t>RM</t>
  </si>
  <si>
    <t>1792103568001</t>
  </si>
  <si>
    <t>SAMSUNG</t>
  </si>
  <si>
    <t>SHOPPING MANAGEMENTS</t>
  </si>
  <si>
    <t>1792347645001</t>
  </si>
  <si>
    <t>SKECHERS</t>
  </si>
  <si>
    <t>SMARTBUY</t>
  </si>
  <si>
    <t>1792858771001</t>
  </si>
  <si>
    <t>STRADIVARIUS</t>
  </si>
  <si>
    <t>1792342775001</t>
  </si>
  <si>
    <t>STUDIO F</t>
  </si>
  <si>
    <t>1792082935001</t>
  </si>
  <si>
    <t>SUNGLASS FASHION OPTICS</t>
  </si>
  <si>
    <t>SUPER PACO</t>
  </si>
  <si>
    <t>1790040275001</t>
  </si>
  <si>
    <t>SWEET &amp; COFFEE</t>
  </si>
  <si>
    <t>TACONAZO</t>
  </si>
  <si>
    <t>1792573009001</t>
  </si>
  <si>
    <t xml:space="preserve">TAF </t>
  </si>
  <si>
    <t>TATY</t>
  </si>
  <si>
    <t>1792236894001</t>
  </si>
  <si>
    <t>TELESHOP</t>
  </si>
  <si>
    <t>TENNIS</t>
  </si>
  <si>
    <t>1791963695001</t>
  </si>
  <si>
    <t>TEXAS</t>
  </si>
  <si>
    <t xml:space="preserve">TODO HOGAR </t>
  </si>
  <si>
    <t>1790746119001</t>
  </si>
  <si>
    <t>TOTTO</t>
  </si>
  <si>
    <t>1792022762001</t>
  </si>
  <si>
    <t>TROPIBURGUER</t>
  </si>
  <si>
    <t>TUENTI</t>
  </si>
  <si>
    <t>TV CABLE (SETEL DATA CENTER) ANTENAS</t>
  </si>
  <si>
    <t>1791847652001</t>
  </si>
  <si>
    <t>TVENTAS</t>
  </si>
  <si>
    <t>1790896544001</t>
  </si>
  <si>
    <t>UOMO VENETTO</t>
  </si>
  <si>
    <t>1792253594001</t>
  </si>
  <si>
    <t>VACO &amp; VACA</t>
  </si>
  <si>
    <t>1792337313001</t>
  </si>
  <si>
    <t>VIAPAZZOS</t>
  </si>
  <si>
    <t>1792869358001</t>
  </si>
  <si>
    <t>WATCH WORLD</t>
  </si>
  <si>
    <t>WATCH OUT</t>
  </si>
  <si>
    <t>1714148929001</t>
  </si>
  <si>
    <t>WESTERN UNION</t>
  </si>
  <si>
    <t>WORKOUT DEPILACIÓN Y BRONCEADO</t>
  </si>
  <si>
    <t>1792407893001</t>
  </si>
  <si>
    <t>YAMAHA</t>
  </si>
  <si>
    <t>YOGURT DE LA AMAZONAS</t>
  </si>
  <si>
    <t>YVES ROCHER</t>
  </si>
  <si>
    <t>1793102174001</t>
  </si>
  <si>
    <t>1793195709001</t>
  </si>
  <si>
    <t xml:space="preserve">INSIDE </t>
  </si>
  <si>
    <t>1791082052001</t>
  </si>
  <si>
    <t xml:space="preserve">CHERY(maresa) </t>
  </si>
  <si>
    <t>1792365031001</t>
  </si>
  <si>
    <t>REEBOK</t>
  </si>
  <si>
    <t>BATH &amp; BODY</t>
  </si>
  <si>
    <t>BASSA</t>
  </si>
  <si>
    <t>SERVICIOS DE TELECOMUNICACIONES SETEL</t>
  </si>
  <si>
    <t>CAJEROS AUTOMATICOS JEP</t>
  </si>
  <si>
    <t>ISHOP</t>
  </si>
  <si>
    <t>1793208757001</t>
  </si>
  <si>
    <t>PUSH</t>
  </si>
  <si>
    <t>1710138296001</t>
  </si>
  <si>
    <t>CHILLI BEANS</t>
  </si>
  <si>
    <t>1793089135001</t>
  </si>
  <si>
    <t>STARBUCKS</t>
  </si>
  <si>
    <t>1793204721001</t>
  </si>
  <si>
    <t>CÓDIGO ESTABLECIMIENTO</t>
  </si>
  <si>
    <t>NO COINCIDE RUC</t>
  </si>
  <si>
    <t>NO HAY EN CONDADO</t>
  </si>
  <si>
    <t>CERRADO</t>
  </si>
  <si>
    <t>NO HAY ESPECIFICO PARA CONDADO</t>
  </si>
  <si>
    <t>NO HAY ESPECIFICO</t>
  </si>
  <si>
    <t>1791738233001</t>
  </si>
  <si>
    <t>117/166/197</t>
  </si>
  <si>
    <t>13/14</t>
  </si>
  <si>
    <t>1705868105001</t>
  </si>
  <si>
    <t>1792056055001</t>
  </si>
  <si>
    <t>1791306112001</t>
  </si>
  <si>
    <t>Cotton Candy</t>
  </si>
  <si>
    <t>1803106432001</t>
  </si>
  <si>
    <t>Japon Condado</t>
  </si>
  <si>
    <t>ABIERTO</t>
  </si>
  <si>
    <t>ESTADO</t>
  </si>
  <si>
    <t>id_establecimiento</t>
  </si>
  <si>
    <t>ACCESORIOS</t>
  </si>
  <si>
    <t>MODA</t>
  </si>
  <si>
    <t>SERVICIOS</t>
  </si>
  <si>
    <t>SALUD Y BELLEZA</t>
  </si>
  <si>
    <t>VEHICULOS</t>
  </si>
  <si>
    <t>ENTRETENIMIENTO</t>
  </si>
  <si>
    <t>BANCA</t>
  </si>
  <si>
    <t> FARMACIAS</t>
  </si>
  <si>
    <t>HOGAR</t>
  </si>
  <si>
    <t>JOYERÍA</t>
  </si>
  <si>
    <t>MR.BOOKS</t>
  </si>
  <si>
    <t>ÓPTICA</t>
  </si>
  <si>
    <t>RELOJERÍA</t>
  </si>
  <si>
    <t>RESTAURANTES</t>
  </si>
  <si>
    <t>TECNOLOGIA</t>
  </si>
  <si>
    <t>TELEFONIA</t>
  </si>
  <si>
    <t xml:space="preserve">BEBE MUNDO </t>
  </si>
  <si>
    <t>ELECTRODOMESTICOS</t>
  </si>
  <si>
    <t>LIBRERIAS</t>
  </si>
  <si>
    <t>BANCO INTERNACIONAL</t>
  </si>
  <si>
    <t>AMERICANINO</t>
  </si>
  <si>
    <t>CHICBERRY FROZEN YOGURT</t>
  </si>
  <si>
    <t>COOPERATIVA DE AHORRO Y CREDITO 29 DE OCTUBRE</t>
  </si>
  <si>
    <t>FARMACIA NATURAL VITALITY</t>
  </si>
  <si>
    <t xml:space="preserve">KIA </t>
  </si>
  <si>
    <t xml:space="preserve">KOBE </t>
  </si>
  <si>
    <t>LOTERIA NACIONAL</t>
  </si>
  <si>
    <t xml:space="preserve">LOTERIA NACIONAL </t>
  </si>
  <si>
    <t>MEGAMAXI</t>
  </si>
  <si>
    <t>PERFUMES FACTORY</t>
  </si>
  <si>
    <t>BURGUER KING</t>
  </si>
  <si>
    <t>nombre_establecimiento</t>
  </si>
  <si>
    <t>992676868001</t>
  </si>
  <si>
    <t>190055965001</t>
  </si>
  <si>
    <t>990379017001</t>
  </si>
  <si>
    <t>990049459001</t>
  </si>
  <si>
    <t>990005737001</t>
  </si>
  <si>
    <t>990987874001</t>
  </si>
  <si>
    <t>590031984001</t>
  </si>
  <si>
    <t>993041408001</t>
  </si>
  <si>
    <t>190115798001</t>
  </si>
  <si>
    <t>993322024001</t>
  </si>
  <si>
    <t>993119210001</t>
  </si>
  <si>
    <t>400865911001</t>
  </si>
  <si>
    <t>990048673001</t>
  </si>
  <si>
    <t>990011214001</t>
  </si>
  <si>
    <t>992858753001</t>
  </si>
  <si>
    <t>190341526001</t>
  </si>
  <si>
    <t>102311594001</t>
  </si>
  <si>
    <t>990021058001</t>
  </si>
  <si>
    <t>190111881001</t>
  </si>
  <si>
    <t>990967946001</t>
  </si>
  <si>
    <t>190459136001</t>
  </si>
  <si>
    <t>991408843001</t>
  </si>
  <si>
    <t>992413077001</t>
  </si>
  <si>
    <t>990043027001</t>
  </si>
  <si>
    <t>990858322001</t>
  </si>
  <si>
    <t>190471810001</t>
  </si>
  <si>
    <t>990000530001</t>
  </si>
  <si>
    <t>992307676001</t>
  </si>
  <si>
    <t>992106891001</t>
  </si>
  <si>
    <t>993205893001</t>
  </si>
  <si>
    <t>992155272001</t>
  </si>
  <si>
    <t>991286403001</t>
  </si>
  <si>
    <t>190007510001</t>
  </si>
  <si>
    <t>993372239001</t>
  </si>
  <si>
    <t>categoria</t>
  </si>
  <si>
    <t>tipo_local</t>
  </si>
  <si>
    <t>LOCAL REGULAR</t>
  </si>
  <si>
    <t>ANCLA</t>
  </si>
  <si>
    <t>SUPERMERCADO</t>
  </si>
  <si>
    <t>SI</t>
  </si>
  <si>
    <t>posible</t>
  </si>
  <si>
    <t>MC DONALDS HELADERÍA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</si>
</sst>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49" fontId="4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F521-C6A7-4460-92BA-807434B9F7DF}">
  <dimension ref="A1:L203"/>
  <sheetViews>
    <sheetView tabSelected="1" topLeftCell="A170" zoomScale="90" zoomScaleNormal="90" workbookViewId="0">
      <selection activeCell="C183" sqref="C183"/>
    </sheetView>
  </sheetViews>
  <sheetFormatPr baseColWidth="10" defaultColWidth="11.54296875" defaultRowHeight="14.5" x14ac:dyDescent="0.35"/>
  <cols>
    <col min="1" max="1" width="9.54296875" customWidth="1"/>
    <col min="2" max="2" width="50.54296875" bestFit="1" customWidth="1"/>
    <col min="3" max="3" width="15.81640625" style="3" bestFit="1" customWidth="1"/>
    <col min="4" max="4" width="32.453125" bestFit="1" customWidth="1"/>
    <col min="5" max="5" width="11.1796875" bestFit="1" customWidth="1"/>
    <col min="6" max="6" width="32.453125" bestFit="1" customWidth="1"/>
    <col min="7" max="7" width="22.08984375" customWidth="1"/>
    <col min="8" max="9" width="19.81640625" customWidth="1"/>
    <col min="10" max="10" width="13.36328125" bestFit="1" customWidth="1"/>
    <col min="11" max="11" width="27.81640625" style="3" bestFit="1" customWidth="1"/>
    <col min="12" max="12" width="38.90625" bestFit="1" customWidth="1"/>
  </cols>
  <sheetData>
    <row r="1" spans="1:12" ht="16" x14ac:dyDescent="0.35">
      <c r="A1" s="8" t="s">
        <v>0</v>
      </c>
      <c r="B1" s="1" t="s">
        <v>361</v>
      </c>
      <c r="C1" s="2" t="s">
        <v>1</v>
      </c>
      <c r="D1" s="8" t="s">
        <v>312</v>
      </c>
      <c r="E1" s="8" t="s">
        <v>328</v>
      </c>
      <c r="F1" s="8" t="s">
        <v>312</v>
      </c>
      <c r="G1" s="8" t="s">
        <v>329</v>
      </c>
      <c r="H1" s="8" t="s">
        <v>396</v>
      </c>
      <c r="I1" s="8" t="s">
        <v>397</v>
      </c>
      <c r="J1" s="8" t="s">
        <v>402</v>
      </c>
      <c r="K1" s="10"/>
      <c r="L1" s="8"/>
    </row>
    <row r="2" spans="1:12" x14ac:dyDescent="0.35">
      <c r="A2">
        <v>1</v>
      </c>
      <c r="B2" t="s">
        <v>2</v>
      </c>
      <c r="C2" s="3" t="s">
        <v>3</v>
      </c>
      <c r="D2">
        <v>6</v>
      </c>
      <c r="E2" t="s">
        <v>327</v>
      </c>
      <c r="F2" t="str">
        <f>TEXT(D2,"000")</f>
        <v>006</v>
      </c>
      <c r="G2" t="str">
        <f>C2&amp;F2</f>
        <v>1792454700001006</v>
      </c>
      <c r="H2" t="s">
        <v>344</v>
      </c>
      <c r="I2" t="s">
        <v>398</v>
      </c>
      <c r="K2"/>
    </row>
    <row r="3" spans="1:12" x14ac:dyDescent="0.35">
      <c r="A3">
        <v>2</v>
      </c>
      <c r="B3" t="s">
        <v>4</v>
      </c>
      <c r="C3" s="3" t="s">
        <v>5</v>
      </c>
      <c r="D3">
        <v>2</v>
      </c>
      <c r="E3" t="s">
        <v>327</v>
      </c>
      <c r="F3" t="str">
        <f t="shared" ref="F3:F34" si="0">TEXT(D3,"000")</f>
        <v>002</v>
      </c>
      <c r="G3" t="str">
        <f>C3&amp;F3</f>
        <v>1793194235001002</v>
      </c>
      <c r="H3" t="s">
        <v>339</v>
      </c>
      <c r="I3" t="s">
        <v>398</v>
      </c>
      <c r="K3"/>
    </row>
    <row r="4" spans="1:12" x14ac:dyDescent="0.35">
      <c r="A4">
        <v>3</v>
      </c>
      <c r="B4" t="s">
        <v>6</v>
      </c>
      <c r="C4" s="3" t="s">
        <v>7</v>
      </c>
      <c r="D4" t="s">
        <v>313</v>
      </c>
      <c r="E4" t="s">
        <v>327</v>
      </c>
      <c r="F4" t="str">
        <f t="shared" si="0"/>
        <v>NO COINCIDE RUC</v>
      </c>
      <c r="H4" t="s">
        <v>331</v>
      </c>
      <c r="I4" t="s">
        <v>398</v>
      </c>
      <c r="K4"/>
    </row>
    <row r="5" spans="1:12" x14ac:dyDescent="0.35">
      <c r="A5">
        <v>4</v>
      </c>
      <c r="B5" t="s">
        <v>8</v>
      </c>
      <c r="C5" s="3" t="s">
        <v>9</v>
      </c>
      <c r="D5">
        <v>4</v>
      </c>
      <c r="E5" t="s">
        <v>327</v>
      </c>
      <c r="F5" t="str">
        <f t="shared" si="0"/>
        <v>004</v>
      </c>
      <c r="G5" t="str">
        <f>C5&amp;F5</f>
        <v>1792502527001004</v>
      </c>
      <c r="H5" t="s">
        <v>331</v>
      </c>
      <c r="I5" t="s">
        <v>398</v>
      </c>
      <c r="K5"/>
    </row>
    <row r="6" spans="1:12" x14ac:dyDescent="0.35">
      <c r="A6">
        <v>5</v>
      </c>
      <c r="B6" t="s">
        <v>10</v>
      </c>
      <c r="C6" s="3" t="s">
        <v>11</v>
      </c>
      <c r="D6" t="s">
        <v>314</v>
      </c>
      <c r="E6" t="s">
        <v>327</v>
      </c>
      <c r="F6" t="str">
        <f t="shared" si="0"/>
        <v>NO HAY EN CONDADO</v>
      </c>
      <c r="H6" t="s">
        <v>331</v>
      </c>
      <c r="I6" t="s">
        <v>398</v>
      </c>
      <c r="K6"/>
    </row>
    <row r="7" spans="1:12" x14ac:dyDescent="0.35">
      <c r="A7">
        <v>6</v>
      </c>
      <c r="B7" t="s">
        <v>12</v>
      </c>
      <c r="C7" s="3" t="s">
        <v>13</v>
      </c>
      <c r="D7">
        <v>13</v>
      </c>
      <c r="E7" t="s">
        <v>327</v>
      </c>
      <c r="F7" t="str">
        <f t="shared" si="0"/>
        <v>013</v>
      </c>
      <c r="G7" t="str">
        <f>C7&amp;F7</f>
        <v>1792278791001013</v>
      </c>
      <c r="H7" t="s">
        <v>331</v>
      </c>
      <c r="I7" t="s">
        <v>398</v>
      </c>
      <c r="K7"/>
    </row>
    <row r="8" spans="1:12" x14ac:dyDescent="0.35">
      <c r="A8">
        <v>7</v>
      </c>
      <c r="B8" t="s">
        <v>15</v>
      </c>
      <c r="C8" s="3" t="s">
        <v>16</v>
      </c>
      <c r="D8">
        <v>8</v>
      </c>
      <c r="E8" t="s">
        <v>327</v>
      </c>
      <c r="F8" t="str">
        <f t="shared" si="0"/>
        <v>008</v>
      </c>
      <c r="G8" t="str">
        <f>C8&amp;F8</f>
        <v>1790622207001008</v>
      </c>
      <c r="H8" t="s">
        <v>331</v>
      </c>
      <c r="I8" t="s">
        <v>398</v>
      </c>
      <c r="K8"/>
    </row>
    <row r="9" spans="1:12" x14ac:dyDescent="0.35">
      <c r="A9">
        <v>8</v>
      </c>
      <c r="B9" t="s">
        <v>17</v>
      </c>
      <c r="C9" s="3" t="s">
        <v>362</v>
      </c>
      <c r="D9">
        <v>8</v>
      </c>
      <c r="E9" t="s">
        <v>327</v>
      </c>
      <c r="F9" t="str">
        <f t="shared" si="0"/>
        <v>008</v>
      </c>
      <c r="G9" t="str">
        <f>C9&amp;F9</f>
        <v>992676868001008</v>
      </c>
      <c r="H9" t="s">
        <v>331</v>
      </c>
      <c r="I9" t="s">
        <v>398</v>
      </c>
      <c r="K9"/>
    </row>
    <row r="10" spans="1:12" x14ac:dyDescent="0.35">
      <c r="A10">
        <v>9</v>
      </c>
      <c r="B10" t="s">
        <v>18</v>
      </c>
      <c r="C10" s="3" t="s">
        <v>19</v>
      </c>
      <c r="D10">
        <v>171</v>
      </c>
      <c r="E10" t="s">
        <v>327</v>
      </c>
      <c r="F10" t="str">
        <f t="shared" si="0"/>
        <v>171</v>
      </c>
      <c r="G10" t="str">
        <f>C10&amp;F10</f>
        <v>1792072018001171</v>
      </c>
      <c r="H10" t="s">
        <v>343</v>
      </c>
      <c r="I10" t="s">
        <v>398</v>
      </c>
      <c r="K10"/>
    </row>
    <row r="11" spans="1:12" x14ac:dyDescent="0.35">
      <c r="A11">
        <v>10</v>
      </c>
      <c r="B11" t="s">
        <v>350</v>
      </c>
      <c r="C11" s="3" t="s">
        <v>16</v>
      </c>
      <c r="D11" t="s">
        <v>314</v>
      </c>
      <c r="E11" t="s">
        <v>327</v>
      </c>
      <c r="F11" t="str">
        <f t="shared" si="0"/>
        <v>NO HAY EN CONDADO</v>
      </c>
      <c r="H11" t="s">
        <v>331</v>
      </c>
      <c r="I11" t="s">
        <v>398</v>
      </c>
      <c r="K11"/>
    </row>
    <row r="12" spans="1:12" x14ac:dyDescent="0.35">
      <c r="A12">
        <v>11</v>
      </c>
      <c r="B12" t="s">
        <v>20</v>
      </c>
      <c r="C12" s="3" t="s">
        <v>21</v>
      </c>
      <c r="D12">
        <v>67</v>
      </c>
      <c r="E12" t="s">
        <v>327</v>
      </c>
      <c r="F12" t="str">
        <f t="shared" si="0"/>
        <v>067</v>
      </c>
      <c r="G12" t="str">
        <f t="shared" ref="G12:G27" si="1">C12&amp;F12</f>
        <v>1790349578001067</v>
      </c>
      <c r="H12" t="s">
        <v>332</v>
      </c>
      <c r="I12" t="s">
        <v>398</v>
      </c>
      <c r="K12"/>
    </row>
    <row r="13" spans="1:12" x14ac:dyDescent="0.35">
      <c r="A13">
        <v>12</v>
      </c>
      <c r="B13" t="s">
        <v>22</v>
      </c>
      <c r="C13" s="3" t="s">
        <v>363</v>
      </c>
      <c r="D13">
        <v>87</v>
      </c>
      <c r="E13" t="s">
        <v>327</v>
      </c>
      <c r="F13" t="str">
        <f t="shared" si="0"/>
        <v>087</v>
      </c>
      <c r="G13" t="str">
        <f t="shared" si="1"/>
        <v>190055965001087</v>
      </c>
      <c r="H13" t="s">
        <v>336</v>
      </c>
      <c r="I13" t="s">
        <v>398</v>
      </c>
      <c r="K13"/>
    </row>
    <row r="14" spans="1:12" x14ac:dyDescent="0.35">
      <c r="A14">
        <v>13</v>
      </c>
      <c r="B14" t="s">
        <v>23</v>
      </c>
      <c r="C14" s="3" t="s">
        <v>364</v>
      </c>
      <c r="D14">
        <v>112</v>
      </c>
      <c r="E14" t="s">
        <v>327</v>
      </c>
      <c r="F14" t="str">
        <f t="shared" si="0"/>
        <v>112</v>
      </c>
      <c r="G14" t="str">
        <f t="shared" si="1"/>
        <v>990379017001112</v>
      </c>
      <c r="H14" t="s">
        <v>336</v>
      </c>
      <c r="I14" t="s">
        <v>398</v>
      </c>
      <c r="K14"/>
    </row>
    <row r="15" spans="1:12" x14ac:dyDescent="0.35">
      <c r="A15">
        <v>14</v>
      </c>
      <c r="B15" t="s">
        <v>24</v>
      </c>
      <c r="C15" s="3" t="s">
        <v>365</v>
      </c>
      <c r="D15">
        <v>102</v>
      </c>
      <c r="E15" t="s">
        <v>327</v>
      </c>
      <c r="F15" t="str">
        <f t="shared" si="0"/>
        <v>102</v>
      </c>
      <c r="G15" t="str">
        <f t="shared" si="1"/>
        <v>990049459001102</v>
      </c>
      <c r="H15" t="s">
        <v>336</v>
      </c>
      <c r="I15" t="s">
        <v>398</v>
      </c>
      <c r="K15"/>
    </row>
    <row r="16" spans="1:12" x14ac:dyDescent="0.35">
      <c r="A16">
        <v>15</v>
      </c>
      <c r="B16" t="s">
        <v>25</v>
      </c>
      <c r="C16" s="3" t="s">
        <v>366</v>
      </c>
      <c r="D16">
        <v>73</v>
      </c>
      <c r="E16" t="s">
        <v>327</v>
      </c>
      <c r="F16" t="str">
        <f t="shared" si="0"/>
        <v>073</v>
      </c>
      <c r="G16" t="str">
        <f t="shared" si="1"/>
        <v>990005737001073</v>
      </c>
      <c r="H16" t="s">
        <v>336</v>
      </c>
      <c r="I16" t="s">
        <v>398</v>
      </c>
      <c r="K16"/>
    </row>
    <row r="17" spans="1:11" x14ac:dyDescent="0.35">
      <c r="A17">
        <v>16</v>
      </c>
      <c r="B17" t="s">
        <v>349</v>
      </c>
      <c r="C17" s="3" t="s">
        <v>26</v>
      </c>
      <c r="D17">
        <v>90</v>
      </c>
      <c r="E17" t="s">
        <v>327</v>
      </c>
      <c r="F17" t="str">
        <f t="shared" si="0"/>
        <v>090</v>
      </c>
      <c r="G17" t="str">
        <f t="shared" si="1"/>
        <v>1790098354001090</v>
      </c>
      <c r="H17" t="s">
        <v>336</v>
      </c>
      <c r="I17" t="s">
        <v>398</v>
      </c>
      <c r="K17"/>
    </row>
    <row r="18" spans="1:11" x14ac:dyDescent="0.35">
      <c r="A18">
        <v>17</v>
      </c>
      <c r="B18" t="s">
        <v>27</v>
      </c>
      <c r="C18" s="3" t="s">
        <v>28</v>
      </c>
      <c r="D18">
        <v>301</v>
      </c>
      <c r="E18" t="s">
        <v>327</v>
      </c>
      <c r="F18" t="str">
        <f t="shared" si="0"/>
        <v>301</v>
      </c>
      <c r="G18" t="str">
        <f t="shared" si="1"/>
        <v>1790010937001301</v>
      </c>
      <c r="H18" t="s">
        <v>336</v>
      </c>
      <c r="I18" t="s">
        <v>398</v>
      </c>
      <c r="K18"/>
    </row>
    <row r="19" spans="1:11" x14ac:dyDescent="0.35">
      <c r="A19">
        <v>18</v>
      </c>
      <c r="B19" t="s">
        <v>29</v>
      </c>
      <c r="C19" s="3" t="s">
        <v>30</v>
      </c>
      <c r="D19">
        <v>70</v>
      </c>
      <c r="E19" t="s">
        <v>327</v>
      </c>
      <c r="F19" t="str">
        <f t="shared" si="0"/>
        <v>070</v>
      </c>
      <c r="G19" t="str">
        <f t="shared" si="1"/>
        <v>1791109384001 070</v>
      </c>
      <c r="H19" t="s">
        <v>336</v>
      </c>
      <c r="I19" t="s">
        <v>398</v>
      </c>
      <c r="K19"/>
    </row>
    <row r="20" spans="1:11" x14ac:dyDescent="0.35">
      <c r="A20">
        <v>19</v>
      </c>
      <c r="B20" t="s">
        <v>31</v>
      </c>
      <c r="C20" s="3" t="s">
        <v>19</v>
      </c>
      <c r="D20">
        <v>67</v>
      </c>
      <c r="E20" t="s">
        <v>327</v>
      </c>
      <c r="F20" t="str">
        <f t="shared" si="0"/>
        <v>067</v>
      </c>
      <c r="G20" t="str">
        <f t="shared" si="1"/>
        <v>1792072018001067</v>
      </c>
      <c r="H20" t="s">
        <v>343</v>
      </c>
      <c r="I20" t="s">
        <v>398</v>
      </c>
      <c r="K20"/>
    </row>
    <row r="21" spans="1:11" x14ac:dyDescent="0.35">
      <c r="A21">
        <v>20</v>
      </c>
      <c r="B21" t="s">
        <v>301</v>
      </c>
      <c r="C21" s="3" t="s">
        <v>367</v>
      </c>
      <c r="D21">
        <v>14</v>
      </c>
      <c r="E21" t="s">
        <v>327</v>
      </c>
      <c r="F21" t="str">
        <f t="shared" si="0"/>
        <v>014</v>
      </c>
      <c r="G21" t="str">
        <f t="shared" si="1"/>
        <v>990987874001014</v>
      </c>
      <c r="H21" t="s">
        <v>333</v>
      </c>
      <c r="I21" t="s">
        <v>398</v>
      </c>
      <c r="K21"/>
    </row>
    <row r="22" spans="1:11" x14ac:dyDescent="0.35">
      <c r="A22">
        <v>21</v>
      </c>
      <c r="B22" t="s">
        <v>32</v>
      </c>
      <c r="C22" s="3" t="s">
        <v>368</v>
      </c>
      <c r="D22">
        <v>12</v>
      </c>
      <c r="E22" t="s">
        <v>327</v>
      </c>
      <c r="F22" t="str">
        <f t="shared" si="0"/>
        <v>012</v>
      </c>
      <c r="G22" t="str">
        <f t="shared" si="1"/>
        <v>590031984001012</v>
      </c>
      <c r="H22" t="s">
        <v>331</v>
      </c>
      <c r="I22" t="s">
        <v>398</v>
      </c>
      <c r="K22"/>
    </row>
    <row r="23" spans="1:11" x14ac:dyDescent="0.35">
      <c r="A23">
        <v>22</v>
      </c>
      <c r="B23" t="s">
        <v>300</v>
      </c>
      <c r="C23" s="3" t="s">
        <v>369</v>
      </c>
      <c r="D23">
        <v>10</v>
      </c>
      <c r="E23" t="s">
        <v>327</v>
      </c>
      <c r="F23" t="str">
        <f t="shared" si="0"/>
        <v>010</v>
      </c>
      <c r="G23" t="str">
        <f t="shared" si="1"/>
        <v>993041408001010</v>
      </c>
      <c r="H23" t="s">
        <v>333</v>
      </c>
      <c r="I23" t="s">
        <v>398</v>
      </c>
      <c r="K23"/>
    </row>
    <row r="24" spans="1:11" x14ac:dyDescent="0.35">
      <c r="A24">
        <v>23</v>
      </c>
      <c r="B24" t="s">
        <v>346</v>
      </c>
      <c r="C24" s="3" t="s">
        <v>33</v>
      </c>
      <c r="D24">
        <v>24</v>
      </c>
      <c r="E24" t="s">
        <v>327</v>
      </c>
      <c r="F24" t="str">
        <f t="shared" si="0"/>
        <v>024</v>
      </c>
      <c r="G24" t="str">
        <f t="shared" si="1"/>
        <v>1790322831001024</v>
      </c>
      <c r="H24" t="s">
        <v>331</v>
      </c>
      <c r="I24" t="s">
        <v>398</v>
      </c>
      <c r="K24"/>
    </row>
    <row r="25" spans="1:11" x14ac:dyDescent="0.35">
      <c r="A25">
        <v>24</v>
      </c>
      <c r="B25" t="s">
        <v>34</v>
      </c>
      <c r="C25" s="3" t="s">
        <v>35</v>
      </c>
      <c r="D25">
        <v>4</v>
      </c>
      <c r="E25" t="s">
        <v>327</v>
      </c>
      <c r="F25" t="str">
        <f t="shared" si="0"/>
        <v>004</v>
      </c>
      <c r="G25" t="str">
        <f t="shared" si="1"/>
        <v>1792342783001004</v>
      </c>
      <c r="H25" t="s">
        <v>331</v>
      </c>
      <c r="I25" t="s">
        <v>398</v>
      </c>
      <c r="J25" t="s">
        <v>401</v>
      </c>
      <c r="K25"/>
    </row>
    <row r="26" spans="1:11" x14ac:dyDescent="0.35">
      <c r="A26">
        <v>25</v>
      </c>
      <c r="B26" t="s">
        <v>36</v>
      </c>
      <c r="C26" s="3" t="s">
        <v>37</v>
      </c>
      <c r="D26">
        <v>64</v>
      </c>
      <c r="E26" t="s">
        <v>327</v>
      </c>
      <c r="F26" t="str">
        <f t="shared" si="0"/>
        <v>064</v>
      </c>
      <c r="G26" t="str">
        <f t="shared" si="1"/>
        <v>1792003881001064</v>
      </c>
      <c r="H26" t="s">
        <v>343</v>
      </c>
      <c r="I26" t="s">
        <v>398</v>
      </c>
      <c r="K26"/>
    </row>
    <row r="27" spans="1:11" x14ac:dyDescent="0.35">
      <c r="A27">
        <v>26</v>
      </c>
      <c r="B27" t="s">
        <v>360</v>
      </c>
      <c r="C27" s="3" t="s">
        <v>395</v>
      </c>
      <c r="D27">
        <v>27</v>
      </c>
      <c r="E27" t="s">
        <v>327</v>
      </c>
      <c r="F27" t="str">
        <f t="shared" si="0"/>
        <v>027</v>
      </c>
      <c r="G27" t="str">
        <f t="shared" si="1"/>
        <v>993372239001027</v>
      </c>
      <c r="H27" t="s">
        <v>343</v>
      </c>
      <c r="I27" t="s">
        <v>398</v>
      </c>
      <c r="J27" t="s">
        <v>401</v>
      </c>
      <c r="K27"/>
    </row>
    <row r="28" spans="1:11" x14ac:dyDescent="0.35">
      <c r="A28">
        <v>27</v>
      </c>
      <c r="B28" t="s">
        <v>303</v>
      </c>
      <c r="C28" s="3" t="s">
        <v>370</v>
      </c>
      <c r="D28" t="s">
        <v>316</v>
      </c>
      <c r="E28" t="s">
        <v>327</v>
      </c>
      <c r="F28" t="str">
        <f t="shared" si="0"/>
        <v>NO HAY ESPECIFICO PARA CONDADO</v>
      </c>
      <c r="H28" t="s">
        <v>336</v>
      </c>
      <c r="I28" t="s">
        <v>398</v>
      </c>
      <c r="K28"/>
    </row>
    <row r="29" spans="1:11" x14ac:dyDescent="0.35">
      <c r="A29">
        <v>28</v>
      </c>
      <c r="B29" t="s">
        <v>38</v>
      </c>
      <c r="C29" s="3" t="s">
        <v>48</v>
      </c>
      <c r="D29">
        <v>105</v>
      </c>
      <c r="E29" t="s">
        <v>327</v>
      </c>
      <c r="F29" t="str">
        <f t="shared" si="0"/>
        <v>105</v>
      </c>
      <c r="G29" t="str">
        <f t="shared" ref="G29:G45" si="2">C29&amp;F29</f>
        <v>1792049504001105</v>
      </c>
      <c r="H29" t="s">
        <v>343</v>
      </c>
      <c r="I29" t="s">
        <v>398</v>
      </c>
      <c r="K29"/>
    </row>
    <row r="30" spans="1:11" x14ac:dyDescent="0.35">
      <c r="A30">
        <v>29</v>
      </c>
      <c r="B30" t="s">
        <v>39</v>
      </c>
      <c r="C30" s="3" t="s">
        <v>13</v>
      </c>
      <c r="D30">
        <v>9</v>
      </c>
      <c r="E30" t="s">
        <v>327</v>
      </c>
      <c r="F30" t="str">
        <f t="shared" si="0"/>
        <v>009</v>
      </c>
      <c r="G30" t="str">
        <f t="shared" si="2"/>
        <v>1792278791001009</v>
      </c>
      <c r="H30" t="s">
        <v>331</v>
      </c>
      <c r="I30" t="s">
        <v>398</v>
      </c>
      <c r="K30"/>
    </row>
    <row r="31" spans="1:11" x14ac:dyDescent="0.35">
      <c r="A31">
        <v>30</v>
      </c>
      <c r="B31" t="s">
        <v>40</v>
      </c>
      <c r="C31" s="3" t="s">
        <v>41</v>
      </c>
      <c r="D31">
        <v>3</v>
      </c>
      <c r="E31" t="s">
        <v>327</v>
      </c>
      <c r="F31" t="str">
        <f t="shared" si="0"/>
        <v>003</v>
      </c>
      <c r="G31" t="str">
        <f t="shared" si="2"/>
        <v>1793001882001003</v>
      </c>
      <c r="H31" t="s">
        <v>331</v>
      </c>
      <c r="I31" t="s">
        <v>398</v>
      </c>
      <c r="K31"/>
    </row>
    <row r="32" spans="1:11" x14ac:dyDescent="0.35">
      <c r="A32">
        <v>31</v>
      </c>
      <c r="B32" t="s">
        <v>42</v>
      </c>
      <c r="C32" s="3" t="s">
        <v>43</v>
      </c>
      <c r="D32">
        <v>16</v>
      </c>
      <c r="E32" t="s">
        <v>327</v>
      </c>
      <c r="F32" t="str">
        <f t="shared" si="0"/>
        <v>016</v>
      </c>
      <c r="G32" t="str">
        <f t="shared" si="2"/>
        <v>1790608654001016</v>
      </c>
      <c r="H32" t="s">
        <v>331</v>
      </c>
      <c r="I32" t="s">
        <v>398</v>
      </c>
      <c r="K32"/>
    </row>
    <row r="33" spans="1:11" x14ac:dyDescent="0.35">
      <c r="A33">
        <v>32</v>
      </c>
      <c r="B33" t="s">
        <v>44</v>
      </c>
      <c r="C33" s="3" t="s">
        <v>45</v>
      </c>
      <c r="D33">
        <v>20</v>
      </c>
      <c r="E33" t="s">
        <v>327</v>
      </c>
      <c r="F33" t="str">
        <f t="shared" si="0"/>
        <v>020</v>
      </c>
      <c r="G33" t="str">
        <f t="shared" si="2"/>
        <v>1791997891001020</v>
      </c>
      <c r="H33" t="s">
        <v>343</v>
      </c>
      <c r="I33" t="s">
        <v>398</v>
      </c>
      <c r="J33" t="s">
        <v>401</v>
      </c>
      <c r="K33"/>
    </row>
    <row r="34" spans="1:11" x14ac:dyDescent="0.35">
      <c r="A34">
        <v>33</v>
      </c>
      <c r="B34" t="s">
        <v>46</v>
      </c>
      <c r="C34" s="4" t="s">
        <v>323</v>
      </c>
      <c r="D34">
        <v>10</v>
      </c>
      <c r="E34" t="s">
        <v>327</v>
      </c>
      <c r="F34" t="str">
        <f t="shared" si="0"/>
        <v>010</v>
      </c>
      <c r="G34" t="str">
        <f t="shared" si="2"/>
        <v>1791306112001010</v>
      </c>
      <c r="H34" t="s">
        <v>338</v>
      </c>
      <c r="I34" t="s">
        <v>398</v>
      </c>
      <c r="K34"/>
    </row>
    <row r="35" spans="1:11" x14ac:dyDescent="0.35">
      <c r="A35">
        <v>34</v>
      </c>
      <c r="B35" t="s">
        <v>47</v>
      </c>
      <c r="C35" s="3" t="s">
        <v>48</v>
      </c>
      <c r="D35">
        <v>100</v>
      </c>
      <c r="E35" t="s">
        <v>327</v>
      </c>
      <c r="F35" t="str">
        <f t="shared" ref="F35:F66" si="3">TEXT(D35,"000")</f>
        <v>100</v>
      </c>
      <c r="G35" t="str">
        <f t="shared" si="2"/>
        <v>1792049504001100</v>
      </c>
      <c r="H35" t="s">
        <v>343</v>
      </c>
      <c r="I35" t="s">
        <v>398</v>
      </c>
      <c r="K35"/>
    </row>
    <row r="36" spans="1:11" x14ac:dyDescent="0.35">
      <c r="A36">
        <v>35</v>
      </c>
      <c r="B36" t="s">
        <v>49</v>
      </c>
      <c r="C36" s="3" t="s">
        <v>50</v>
      </c>
      <c r="D36">
        <v>21</v>
      </c>
      <c r="E36" t="s">
        <v>327</v>
      </c>
      <c r="F36" t="str">
        <f t="shared" si="3"/>
        <v>021</v>
      </c>
      <c r="G36" t="str">
        <f t="shared" si="2"/>
        <v>1790009459001021</v>
      </c>
      <c r="H36" t="s">
        <v>334</v>
      </c>
      <c r="I36" t="s">
        <v>398</v>
      </c>
      <c r="K36"/>
    </row>
    <row r="37" spans="1:11" x14ac:dyDescent="0.35">
      <c r="A37">
        <v>36</v>
      </c>
      <c r="B37" t="s">
        <v>51</v>
      </c>
      <c r="C37" s="3" t="s">
        <v>52</v>
      </c>
      <c r="D37">
        <v>2</v>
      </c>
      <c r="E37" t="s">
        <v>327</v>
      </c>
      <c r="F37" t="str">
        <f t="shared" si="3"/>
        <v>002</v>
      </c>
      <c r="G37" t="str">
        <f t="shared" si="2"/>
        <v>1712935426001002</v>
      </c>
      <c r="H37" t="s">
        <v>343</v>
      </c>
      <c r="I37" t="s">
        <v>398</v>
      </c>
      <c r="K37"/>
    </row>
    <row r="38" spans="1:11" x14ac:dyDescent="0.35">
      <c r="A38">
        <v>37</v>
      </c>
      <c r="B38" t="s">
        <v>53</v>
      </c>
      <c r="C38" s="3" t="s">
        <v>54</v>
      </c>
      <c r="D38">
        <v>3</v>
      </c>
      <c r="E38" t="s">
        <v>315</v>
      </c>
      <c r="F38" t="str">
        <f t="shared" si="3"/>
        <v>003</v>
      </c>
      <c r="G38" t="str">
        <f t="shared" si="2"/>
        <v>1792878195001003</v>
      </c>
      <c r="H38" t="s">
        <v>343</v>
      </c>
      <c r="I38" t="s">
        <v>398</v>
      </c>
      <c r="K38"/>
    </row>
    <row r="39" spans="1:11" x14ac:dyDescent="0.35">
      <c r="A39">
        <v>38</v>
      </c>
      <c r="B39" t="s">
        <v>55</v>
      </c>
      <c r="C39" s="3" t="s">
        <v>56</v>
      </c>
      <c r="D39">
        <v>24</v>
      </c>
      <c r="E39" t="s">
        <v>327</v>
      </c>
      <c r="F39" t="str">
        <f t="shared" si="3"/>
        <v>024</v>
      </c>
      <c r="G39" t="str">
        <f t="shared" si="2"/>
        <v>1790527085001024</v>
      </c>
      <c r="H39" t="s">
        <v>343</v>
      </c>
      <c r="I39" t="s">
        <v>398</v>
      </c>
      <c r="K39"/>
    </row>
    <row r="40" spans="1:11" x14ac:dyDescent="0.35">
      <c r="A40">
        <v>39</v>
      </c>
      <c r="B40" t="s">
        <v>57</v>
      </c>
      <c r="C40" s="3" t="s">
        <v>58</v>
      </c>
      <c r="D40">
        <v>13</v>
      </c>
      <c r="E40" t="s">
        <v>327</v>
      </c>
      <c r="F40" t="str">
        <f t="shared" si="3"/>
        <v>013</v>
      </c>
      <c r="G40" t="str">
        <f t="shared" si="2"/>
        <v>1790241483001013</v>
      </c>
      <c r="H40" t="s">
        <v>338</v>
      </c>
      <c r="I40" t="s">
        <v>398</v>
      </c>
      <c r="K40"/>
    </row>
    <row r="41" spans="1:11" x14ac:dyDescent="0.35">
      <c r="A41">
        <v>40</v>
      </c>
      <c r="B41" t="s">
        <v>297</v>
      </c>
      <c r="C41" s="3" t="s">
        <v>298</v>
      </c>
      <c r="D41">
        <v>33</v>
      </c>
      <c r="E41" t="s">
        <v>327</v>
      </c>
      <c r="F41" t="str">
        <f t="shared" si="3"/>
        <v>033</v>
      </c>
      <c r="G41" t="str">
        <f t="shared" si="2"/>
        <v>1792365031001033</v>
      </c>
      <c r="H41" t="s">
        <v>334</v>
      </c>
      <c r="I41" t="s">
        <v>398</v>
      </c>
      <c r="K41"/>
    </row>
    <row r="42" spans="1:11" x14ac:dyDescent="0.35">
      <c r="A42">
        <v>41</v>
      </c>
      <c r="B42" t="s">
        <v>59</v>
      </c>
      <c r="C42" s="3" t="s">
        <v>60</v>
      </c>
      <c r="D42">
        <v>8</v>
      </c>
      <c r="E42" t="s">
        <v>327</v>
      </c>
      <c r="F42" t="str">
        <f t="shared" si="3"/>
        <v>008</v>
      </c>
      <c r="G42" t="str">
        <f t="shared" si="2"/>
        <v>1790978303001008</v>
      </c>
      <c r="H42" t="s">
        <v>334</v>
      </c>
      <c r="I42" t="s">
        <v>398</v>
      </c>
      <c r="K42"/>
    </row>
    <row r="43" spans="1:11" x14ac:dyDescent="0.35">
      <c r="A43">
        <v>42</v>
      </c>
      <c r="B43" t="s">
        <v>351</v>
      </c>
      <c r="C43" s="3" t="s">
        <v>294</v>
      </c>
      <c r="D43">
        <v>3</v>
      </c>
      <c r="E43" t="s">
        <v>327</v>
      </c>
      <c r="F43" t="str">
        <f t="shared" si="3"/>
        <v>003</v>
      </c>
      <c r="G43" t="str">
        <f t="shared" si="2"/>
        <v>1793195709001003</v>
      </c>
      <c r="H43" t="s">
        <v>343</v>
      </c>
      <c r="I43" t="s">
        <v>398</v>
      </c>
      <c r="K43"/>
    </row>
    <row r="44" spans="1:11" x14ac:dyDescent="0.35">
      <c r="A44">
        <v>43</v>
      </c>
      <c r="B44" t="s">
        <v>308</v>
      </c>
      <c r="C44" s="3" t="s">
        <v>309</v>
      </c>
      <c r="D44">
        <v>5</v>
      </c>
      <c r="E44" t="s">
        <v>327</v>
      </c>
      <c r="F44" t="str">
        <f t="shared" si="3"/>
        <v>005</v>
      </c>
      <c r="G44" t="str">
        <f t="shared" si="2"/>
        <v>1793089135001005</v>
      </c>
      <c r="H44" t="s">
        <v>343</v>
      </c>
      <c r="I44" t="s">
        <v>398</v>
      </c>
      <c r="K44"/>
    </row>
    <row r="45" spans="1:11" x14ac:dyDescent="0.35">
      <c r="A45">
        <v>44</v>
      </c>
      <c r="B45" t="s">
        <v>61</v>
      </c>
      <c r="C45" s="3" t="s">
        <v>62</v>
      </c>
      <c r="D45">
        <v>71</v>
      </c>
      <c r="E45" t="s">
        <v>327</v>
      </c>
      <c r="F45" t="str">
        <f t="shared" si="3"/>
        <v>071</v>
      </c>
      <c r="G45" t="str">
        <f t="shared" si="2"/>
        <v>1791251237001071</v>
      </c>
      <c r="H45" t="s">
        <v>345</v>
      </c>
      <c r="I45" t="s">
        <v>398</v>
      </c>
      <c r="K45"/>
    </row>
    <row r="46" spans="1:11" x14ac:dyDescent="0.35">
      <c r="A46">
        <v>45</v>
      </c>
      <c r="B46" t="s">
        <v>63</v>
      </c>
      <c r="C46" s="3" t="s">
        <v>371</v>
      </c>
      <c r="D46" t="s">
        <v>314</v>
      </c>
      <c r="E46" t="s">
        <v>327</v>
      </c>
      <c r="F46" t="str">
        <f t="shared" si="3"/>
        <v>NO HAY EN CONDADO</v>
      </c>
      <c r="H46" t="s">
        <v>345</v>
      </c>
      <c r="I46" t="s">
        <v>398</v>
      </c>
      <c r="K46"/>
    </row>
    <row r="47" spans="1:11" x14ac:dyDescent="0.35">
      <c r="A47">
        <v>46</v>
      </c>
      <c r="B47" t="s">
        <v>64</v>
      </c>
      <c r="C47" s="3" t="s">
        <v>65</v>
      </c>
      <c r="D47">
        <v>1</v>
      </c>
      <c r="E47" t="s">
        <v>327</v>
      </c>
      <c r="F47" t="str">
        <f t="shared" si="3"/>
        <v>001</v>
      </c>
      <c r="G47" t="str">
        <f>C47&amp;F47</f>
        <v>1792097231001001</v>
      </c>
      <c r="H47" t="s">
        <v>334</v>
      </c>
      <c r="I47" t="s">
        <v>398</v>
      </c>
      <c r="K47"/>
    </row>
    <row r="48" spans="1:11" x14ac:dyDescent="0.35">
      <c r="A48">
        <v>47</v>
      </c>
      <c r="B48" t="s">
        <v>66</v>
      </c>
      <c r="C48" s="3" t="s">
        <v>67</v>
      </c>
      <c r="D48">
        <v>139</v>
      </c>
      <c r="E48" t="s">
        <v>327</v>
      </c>
      <c r="F48" t="str">
        <f t="shared" si="3"/>
        <v>139</v>
      </c>
      <c r="G48" t="str">
        <f>C48&amp;F48</f>
        <v>1768152560001139</v>
      </c>
      <c r="H48" t="s">
        <v>345</v>
      </c>
      <c r="I48" t="s">
        <v>398</v>
      </c>
      <c r="K48"/>
    </row>
    <row r="49" spans="1:11" x14ac:dyDescent="0.35">
      <c r="A49">
        <v>48</v>
      </c>
      <c r="B49" t="s">
        <v>68</v>
      </c>
      <c r="C49" s="3" t="s">
        <v>372</v>
      </c>
      <c r="D49">
        <v>47</v>
      </c>
      <c r="E49" t="s">
        <v>327</v>
      </c>
      <c r="F49" t="str">
        <f t="shared" si="3"/>
        <v>047</v>
      </c>
      <c r="G49" t="str">
        <f>C49&amp;F49</f>
        <v>993119210001047</v>
      </c>
      <c r="H49" t="s">
        <v>344</v>
      </c>
      <c r="I49" t="s">
        <v>398</v>
      </c>
      <c r="K49"/>
    </row>
    <row r="50" spans="1:11" x14ac:dyDescent="0.35">
      <c r="A50">
        <v>49</v>
      </c>
      <c r="B50" t="s">
        <v>69</v>
      </c>
      <c r="C50" s="3" t="s">
        <v>70</v>
      </c>
      <c r="D50">
        <v>4</v>
      </c>
      <c r="E50" t="s">
        <v>327</v>
      </c>
      <c r="F50" t="str">
        <f t="shared" si="3"/>
        <v>004</v>
      </c>
      <c r="G50" t="str">
        <f>C50&amp;F50</f>
        <v>1792436176001004</v>
      </c>
      <c r="H50" t="s">
        <v>331</v>
      </c>
      <c r="I50" t="s">
        <v>398</v>
      </c>
      <c r="K50"/>
    </row>
    <row r="51" spans="1:11" x14ac:dyDescent="0.35">
      <c r="A51">
        <v>50</v>
      </c>
      <c r="B51" t="s">
        <v>71</v>
      </c>
      <c r="C51" s="3" t="s">
        <v>373</v>
      </c>
      <c r="D51">
        <v>6</v>
      </c>
      <c r="E51" t="s">
        <v>327</v>
      </c>
      <c r="F51" t="str">
        <f t="shared" si="3"/>
        <v>006</v>
      </c>
      <c r="G51" t="str">
        <f>C51&amp;F51</f>
        <v>400865911001006</v>
      </c>
      <c r="H51" t="s">
        <v>338</v>
      </c>
      <c r="I51" t="s">
        <v>398</v>
      </c>
      <c r="K51"/>
    </row>
    <row r="52" spans="1:11" x14ac:dyDescent="0.35">
      <c r="A52">
        <v>51</v>
      </c>
      <c r="B52" t="s">
        <v>352</v>
      </c>
      <c r="C52" s="3" t="s">
        <v>72</v>
      </c>
      <c r="D52" t="s">
        <v>314</v>
      </c>
      <c r="E52" t="s">
        <v>327</v>
      </c>
      <c r="F52" t="str">
        <f t="shared" si="3"/>
        <v>NO HAY EN CONDADO</v>
      </c>
      <c r="H52" t="s">
        <v>336</v>
      </c>
      <c r="I52" t="s">
        <v>398</v>
      </c>
      <c r="K52"/>
    </row>
    <row r="53" spans="1:11" x14ac:dyDescent="0.35">
      <c r="A53">
        <v>52</v>
      </c>
      <c r="B53" t="s">
        <v>73</v>
      </c>
      <c r="C53" s="3" t="s">
        <v>74</v>
      </c>
      <c r="D53">
        <v>3</v>
      </c>
      <c r="E53" t="s">
        <v>327</v>
      </c>
      <c r="F53" t="str">
        <f t="shared" si="3"/>
        <v>003</v>
      </c>
      <c r="G53" t="str">
        <f t="shared" ref="G53:G61" si="4">C53&amp;F53</f>
        <v>1792189616001003</v>
      </c>
      <c r="H53" t="s">
        <v>338</v>
      </c>
      <c r="I53" t="s">
        <v>398</v>
      </c>
      <c r="K53"/>
    </row>
    <row r="54" spans="1:11" x14ac:dyDescent="0.35">
      <c r="A54">
        <v>53</v>
      </c>
      <c r="B54" s="7" t="s">
        <v>324</v>
      </c>
      <c r="C54" s="4" t="s">
        <v>325</v>
      </c>
      <c r="D54" s="6">
        <v>11</v>
      </c>
      <c r="E54" t="s">
        <v>327</v>
      </c>
      <c r="F54" t="str">
        <f t="shared" si="3"/>
        <v>011</v>
      </c>
      <c r="G54" t="str">
        <f t="shared" si="4"/>
        <v>1803106432001011</v>
      </c>
      <c r="H54" t="s">
        <v>343</v>
      </c>
      <c r="I54" t="s">
        <v>398</v>
      </c>
      <c r="K54"/>
    </row>
    <row r="55" spans="1:11" x14ac:dyDescent="0.35">
      <c r="A55">
        <v>54</v>
      </c>
      <c r="B55" t="s">
        <v>75</v>
      </c>
      <c r="C55" s="3" t="s">
        <v>76</v>
      </c>
      <c r="D55">
        <v>4</v>
      </c>
      <c r="E55" t="s">
        <v>327</v>
      </c>
      <c r="F55" t="str">
        <f t="shared" si="3"/>
        <v>004</v>
      </c>
      <c r="G55" t="str">
        <f t="shared" si="4"/>
        <v>1791274156001004</v>
      </c>
      <c r="H55" t="s">
        <v>343</v>
      </c>
      <c r="I55" t="s">
        <v>398</v>
      </c>
      <c r="K55"/>
    </row>
    <row r="56" spans="1:11" x14ac:dyDescent="0.35">
      <c r="A56">
        <v>55</v>
      </c>
      <c r="B56" t="s">
        <v>77</v>
      </c>
      <c r="C56" s="3" t="s">
        <v>78</v>
      </c>
      <c r="D56">
        <v>6</v>
      </c>
      <c r="E56" t="s">
        <v>327</v>
      </c>
      <c r="F56" t="str">
        <f t="shared" si="3"/>
        <v>006</v>
      </c>
      <c r="G56" t="str">
        <f t="shared" si="4"/>
        <v>1791894499001006</v>
      </c>
      <c r="H56" t="s">
        <v>331</v>
      </c>
      <c r="I56" t="s">
        <v>398</v>
      </c>
      <c r="K56"/>
    </row>
    <row r="57" spans="1:11" x14ac:dyDescent="0.35">
      <c r="A57">
        <v>56</v>
      </c>
      <c r="B57" t="s">
        <v>79</v>
      </c>
      <c r="C57" s="3" t="s">
        <v>80</v>
      </c>
      <c r="D57">
        <v>17</v>
      </c>
      <c r="E57" t="s">
        <v>327</v>
      </c>
      <c r="F57" t="str">
        <f t="shared" si="3"/>
        <v>017</v>
      </c>
      <c r="G57" t="str">
        <f t="shared" si="4"/>
        <v>1790037126001017</v>
      </c>
      <c r="H57" t="s">
        <v>343</v>
      </c>
      <c r="I57" t="s">
        <v>398</v>
      </c>
      <c r="J57" t="s">
        <v>401</v>
      </c>
      <c r="K57"/>
    </row>
    <row r="58" spans="1:11" x14ac:dyDescent="0.35">
      <c r="A58">
        <v>57</v>
      </c>
      <c r="B58" t="s">
        <v>81</v>
      </c>
      <c r="C58" s="3" t="s">
        <v>82</v>
      </c>
      <c r="D58">
        <v>24</v>
      </c>
      <c r="E58" t="s">
        <v>327</v>
      </c>
      <c r="F58" t="str">
        <f t="shared" si="3"/>
        <v>024</v>
      </c>
      <c r="G58" t="str">
        <f t="shared" si="4"/>
        <v>1791354419001024</v>
      </c>
      <c r="H58" t="s">
        <v>331</v>
      </c>
      <c r="I58" t="s">
        <v>398</v>
      </c>
      <c r="K58"/>
    </row>
    <row r="59" spans="1:11" x14ac:dyDescent="0.35">
      <c r="A59">
        <v>58</v>
      </c>
      <c r="B59" t="s">
        <v>83</v>
      </c>
      <c r="C59" s="3" t="s">
        <v>374</v>
      </c>
      <c r="D59">
        <v>35</v>
      </c>
      <c r="E59" t="s">
        <v>327</v>
      </c>
      <c r="F59" t="str">
        <f t="shared" si="3"/>
        <v>035</v>
      </c>
      <c r="G59" t="str">
        <f t="shared" si="4"/>
        <v>990048673001035</v>
      </c>
      <c r="H59" t="s">
        <v>336</v>
      </c>
      <c r="I59" t="s">
        <v>398</v>
      </c>
      <c r="K59"/>
    </row>
    <row r="60" spans="1:11" x14ac:dyDescent="0.35">
      <c r="A60">
        <v>59</v>
      </c>
      <c r="B60" t="s">
        <v>84</v>
      </c>
      <c r="C60" s="3" t="s">
        <v>85</v>
      </c>
      <c r="D60">
        <v>1</v>
      </c>
      <c r="E60" t="s">
        <v>327</v>
      </c>
      <c r="F60" t="str">
        <f t="shared" si="3"/>
        <v>001</v>
      </c>
      <c r="G60" t="str">
        <f t="shared" si="4"/>
        <v>1793191101001001</v>
      </c>
      <c r="H60" t="s">
        <v>333</v>
      </c>
      <c r="I60" t="s">
        <v>398</v>
      </c>
      <c r="K60"/>
    </row>
    <row r="61" spans="1:11" x14ac:dyDescent="0.35">
      <c r="A61">
        <v>60</v>
      </c>
      <c r="B61" t="s">
        <v>86</v>
      </c>
      <c r="C61" s="3" t="s">
        <v>375</v>
      </c>
      <c r="D61">
        <v>21</v>
      </c>
      <c r="E61" t="s">
        <v>327</v>
      </c>
      <c r="F61" t="str">
        <f t="shared" si="3"/>
        <v>021</v>
      </c>
      <c r="G61" t="str">
        <f t="shared" si="4"/>
        <v>990011214001021</v>
      </c>
      <c r="H61" t="s">
        <v>331</v>
      </c>
      <c r="I61" t="s">
        <v>399</v>
      </c>
      <c r="J61" t="s">
        <v>401</v>
      </c>
      <c r="K61"/>
    </row>
    <row r="62" spans="1:11" x14ac:dyDescent="0.35">
      <c r="A62">
        <v>61</v>
      </c>
      <c r="B62" t="s">
        <v>87</v>
      </c>
      <c r="C62" s="3" t="s">
        <v>88</v>
      </c>
      <c r="D62" t="s">
        <v>314</v>
      </c>
      <c r="E62" t="s">
        <v>327</v>
      </c>
      <c r="F62" t="str">
        <f t="shared" si="3"/>
        <v>NO HAY EN CONDADO</v>
      </c>
      <c r="H62" t="s">
        <v>332</v>
      </c>
      <c r="I62" t="s">
        <v>398</v>
      </c>
      <c r="K62"/>
    </row>
    <row r="63" spans="1:11" x14ac:dyDescent="0.35">
      <c r="A63">
        <v>62</v>
      </c>
      <c r="B63" t="s">
        <v>89</v>
      </c>
      <c r="C63" s="3" t="s">
        <v>19</v>
      </c>
      <c r="D63" t="s">
        <v>313</v>
      </c>
      <c r="E63" t="s">
        <v>327</v>
      </c>
      <c r="F63" t="str">
        <f t="shared" si="3"/>
        <v>NO COINCIDE RUC</v>
      </c>
      <c r="H63" t="s">
        <v>343</v>
      </c>
      <c r="I63" t="s">
        <v>398</v>
      </c>
      <c r="K63"/>
    </row>
    <row r="64" spans="1:11" x14ac:dyDescent="0.35">
      <c r="A64">
        <v>63</v>
      </c>
      <c r="B64" t="s">
        <v>90</v>
      </c>
      <c r="C64" s="3" t="s">
        <v>91</v>
      </c>
      <c r="D64">
        <v>2</v>
      </c>
      <c r="E64" t="s">
        <v>327</v>
      </c>
      <c r="F64" t="str">
        <f t="shared" si="3"/>
        <v>002</v>
      </c>
      <c r="G64" t="str">
        <f>C64&amp;F64</f>
        <v>1792471486001002</v>
      </c>
      <c r="H64" t="s">
        <v>343</v>
      </c>
      <c r="I64" t="s">
        <v>398</v>
      </c>
      <c r="K64"/>
    </row>
    <row r="65" spans="1:11" x14ac:dyDescent="0.35">
      <c r="A65">
        <v>64</v>
      </c>
      <c r="B65" t="s">
        <v>92</v>
      </c>
      <c r="C65" s="3" t="s">
        <v>19</v>
      </c>
      <c r="D65">
        <v>63</v>
      </c>
      <c r="E65" t="s">
        <v>327</v>
      </c>
      <c r="F65" t="str">
        <f t="shared" si="3"/>
        <v>063</v>
      </c>
      <c r="G65" t="str">
        <f>C65&amp;F65</f>
        <v>1792072018001063</v>
      </c>
      <c r="H65" t="s">
        <v>343</v>
      </c>
      <c r="I65" t="s">
        <v>398</v>
      </c>
      <c r="K65"/>
    </row>
    <row r="66" spans="1:11" x14ac:dyDescent="0.35">
      <c r="A66">
        <v>65</v>
      </c>
      <c r="B66" t="s">
        <v>93</v>
      </c>
      <c r="C66" s="3" t="s">
        <v>94</v>
      </c>
      <c r="D66" t="s">
        <v>316</v>
      </c>
      <c r="E66" t="s">
        <v>327</v>
      </c>
      <c r="F66" t="str">
        <f t="shared" si="3"/>
        <v>NO HAY ESPECIFICO PARA CONDADO</v>
      </c>
      <c r="H66" t="s">
        <v>332</v>
      </c>
      <c r="I66" t="s">
        <v>398</v>
      </c>
      <c r="K66"/>
    </row>
    <row r="67" spans="1:11" x14ac:dyDescent="0.35">
      <c r="A67">
        <v>66</v>
      </c>
      <c r="B67" t="s">
        <v>95</v>
      </c>
      <c r="C67" s="3" t="s">
        <v>96</v>
      </c>
      <c r="D67">
        <v>5</v>
      </c>
      <c r="E67" t="s">
        <v>327</v>
      </c>
      <c r="F67" t="str">
        <f t="shared" ref="F67:F98" si="5">TEXT(D67,"000")</f>
        <v>005</v>
      </c>
      <c r="G67" t="str">
        <f>C67&amp;F67</f>
        <v>1713377172001005</v>
      </c>
      <c r="H67" t="s">
        <v>338</v>
      </c>
      <c r="I67" t="s">
        <v>398</v>
      </c>
      <c r="K67"/>
    </row>
    <row r="68" spans="1:11" x14ac:dyDescent="0.35">
      <c r="A68">
        <v>67</v>
      </c>
      <c r="B68" t="s">
        <v>97</v>
      </c>
      <c r="C68" s="3" t="s">
        <v>98</v>
      </c>
      <c r="D68">
        <v>2</v>
      </c>
      <c r="E68" t="s">
        <v>327</v>
      </c>
      <c r="F68" t="str">
        <f t="shared" si="5"/>
        <v>002</v>
      </c>
      <c r="G68" t="str">
        <f>C68&amp;F68</f>
        <v>1720778768001002</v>
      </c>
      <c r="H68" t="s">
        <v>344</v>
      </c>
      <c r="I68" t="s">
        <v>398</v>
      </c>
      <c r="K68"/>
    </row>
    <row r="69" spans="1:11" x14ac:dyDescent="0.35">
      <c r="A69">
        <v>68</v>
      </c>
      <c r="B69" t="s">
        <v>99</v>
      </c>
      <c r="C69" s="3" t="s">
        <v>16</v>
      </c>
      <c r="D69" t="s">
        <v>317</v>
      </c>
      <c r="E69" t="s">
        <v>327</v>
      </c>
      <c r="F69" t="str">
        <f t="shared" si="5"/>
        <v>NO HAY ESPECIFICO</v>
      </c>
      <c r="H69" t="s">
        <v>331</v>
      </c>
      <c r="I69" t="s">
        <v>398</v>
      </c>
      <c r="K69"/>
    </row>
    <row r="70" spans="1:11" x14ac:dyDescent="0.35">
      <c r="A70">
        <v>69</v>
      </c>
      <c r="B70" t="s">
        <v>100</v>
      </c>
      <c r="C70" s="3" t="s">
        <v>101</v>
      </c>
      <c r="D70">
        <v>18</v>
      </c>
      <c r="E70" t="s">
        <v>327</v>
      </c>
      <c r="F70" t="str">
        <f t="shared" si="5"/>
        <v>018</v>
      </c>
      <c r="G70" t="str">
        <f t="shared" ref="G70:G86" si="6">C70&amp;F70</f>
        <v>1790985504001018</v>
      </c>
      <c r="H70" t="s">
        <v>331</v>
      </c>
      <c r="I70" t="s">
        <v>399</v>
      </c>
      <c r="J70" t="s">
        <v>401</v>
      </c>
      <c r="K70"/>
    </row>
    <row r="71" spans="1:11" x14ac:dyDescent="0.35">
      <c r="A71">
        <v>70</v>
      </c>
      <c r="B71" t="s">
        <v>102</v>
      </c>
      <c r="C71" s="3" t="s">
        <v>103</v>
      </c>
      <c r="D71">
        <v>112</v>
      </c>
      <c r="E71" t="s">
        <v>327</v>
      </c>
      <c r="F71" t="str">
        <f t="shared" si="5"/>
        <v>112</v>
      </c>
      <c r="G71" t="str">
        <f t="shared" si="6"/>
        <v>1791413237001112</v>
      </c>
      <c r="H71" t="s">
        <v>331</v>
      </c>
      <c r="I71" t="s">
        <v>398</v>
      </c>
      <c r="J71" t="s">
        <v>401</v>
      </c>
      <c r="K71"/>
    </row>
    <row r="72" spans="1:11" x14ac:dyDescent="0.35">
      <c r="A72">
        <v>71</v>
      </c>
      <c r="B72" t="s">
        <v>353</v>
      </c>
      <c r="C72" s="3" t="s">
        <v>14</v>
      </c>
      <c r="D72">
        <v>8</v>
      </c>
      <c r="E72" t="s">
        <v>327</v>
      </c>
      <c r="F72" t="str">
        <f t="shared" si="5"/>
        <v>008</v>
      </c>
      <c r="G72" t="str">
        <f t="shared" si="6"/>
        <v>1791409167001008</v>
      </c>
      <c r="H72" t="s">
        <v>333</v>
      </c>
      <c r="I72" t="s">
        <v>398</v>
      </c>
      <c r="K72"/>
    </row>
    <row r="73" spans="1:11" x14ac:dyDescent="0.35">
      <c r="A73">
        <v>72</v>
      </c>
      <c r="B73" t="s">
        <v>104</v>
      </c>
      <c r="C73" s="3" t="s">
        <v>105</v>
      </c>
      <c r="D73">
        <v>6</v>
      </c>
      <c r="E73" t="s">
        <v>327</v>
      </c>
      <c r="F73" t="str">
        <f t="shared" si="5"/>
        <v>006</v>
      </c>
      <c r="G73" t="str">
        <f t="shared" si="6"/>
        <v>1792456851001006</v>
      </c>
      <c r="H73" t="s">
        <v>331</v>
      </c>
      <c r="I73" t="s">
        <v>398</v>
      </c>
      <c r="K73"/>
    </row>
    <row r="74" spans="1:11" x14ac:dyDescent="0.35">
      <c r="A74">
        <v>73</v>
      </c>
      <c r="B74" t="s">
        <v>106</v>
      </c>
      <c r="C74" s="3" t="s">
        <v>107</v>
      </c>
      <c r="D74">
        <v>6</v>
      </c>
      <c r="E74" t="s">
        <v>327</v>
      </c>
      <c r="F74" t="str">
        <f t="shared" si="5"/>
        <v>006</v>
      </c>
      <c r="G74" t="str">
        <f t="shared" si="6"/>
        <v>1900026475001006</v>
      </c>
      <c r="H74" t="s">
        <v>335</v>
      </c>
      <c r="I74" t="s">
        <v>398</v>
      </c>
      <c r="K74"/>
    </row>
    <row r="75" spans="1:11" x14ac:dyDescent="0.35">
      <c r="A75">
        <v>74</v>
      </c>
      <c r="B75" t="s">
        <v>108</v>
      </c>
      <c r="C75" s="3" t="s">
        <v>109</v>
      </c>
      <c r="D75">
        <v>39</v>
      </c>
      <c r="E75" t="s">
        <v>327</v>
      </c>
      <c r="F75" t="str">
        <f t="shared" si="5"/>
        <v>039</v>
      </c>
      <c r="G75" t="str">
        <f t="shared" si="6"/>
        <v>1790027791001039</v>
      </c>
      <c r="H75" t="s">
        <v>331</v>
      </c>
      <c r="I75" t="s">
        <v>398</v>
      </c>
      <c r="J75" t="s">
        <v>401</v>
      </c>
      <c r="K75"/>
    </row>
    <row r="76" spans="1:11" x14ac:dyDescent="0.35">
      <c r="A76">
        <v>75</v>
      </c>
      <c r="B76" t="s">
        <v>110</v>
      </c>
      <c r="C76" s="3" t="s">
        <v>111</v>
      </c>
      <c r="D76">
        <v>91</v>
      </c>
      <c r="E76" t="s">
        <v>327</v>
      </c>
      <c r="F76" t="str">
        <f t="shared" si="5"/>
        <v>091</v>
      </c>
      <c r="G76" t="str">
        <f t="shared" si="6"/>
        <v>1790710319001091</v>
      </c>
      <c r="H76" t="s">
        <v>337</v>
      </c>
      <c r="I76" t="s">
        <v>398</v>
      </c>
      <c r="J76" t="s">
        <v>401</v>
      </c>
      <c r="K76"/>
    </row>
    <row r="77" spans="1:11" x14ac:dyDescent="0.35">
      <c r="A77">
        <v>76</v>
      </c>
      <c r="B77" t="s">
        <v>114</v>
      </c>
      <c r="C77" s="3" t="s">
        <v>115</v>
      </c>
      <c r="D77">
        <v>3</v>
      </c>
      <c r="E77" t="s">
        <v>327</v>
      </c>
      <c r="F77" t="str">
        <f t="shared" si="5"/>
        <v>003</v>
      </c>
      <c r="G77" t="str">
        <f t="shared" si="6"/>
        <v>1710682616001003</v>
      </c>
      <c r="H77" t="s">
        <v>344</v>
      </c>
      <c r="I77" t="s">
        <v>398</v>
      </c>
      <c r="K77"/>
    </row>
    <row r="78" spans="1:11" x14ac:dyDescent="0.35">
      <c r="A78">
        <v>77</v>
      </c>
      <c r="B78" t="s">
        <v>116</v>
      </c>
      <c r="C78" s="3" t="s">
        <v>376</v>
      </c>
      <c r="D78">
        <v>10</v>
      </c>
      <c r="E78" t="s">
        <v>327</v>
      </c>
      <c r="F78" t="str">
        <f t="shared" si="5"/>
        <v>010</v>
      </c>
      <c r="G78" t="str">
        <f t="shared" si="6"/>
        <v>992858753001010</v>
      </c>
      <c r="H78" t="s">
        <v>338</v>
      </c>
      <c r="I78" t="s">
        <v>398</v>
      </c>
      <c r="K78"/>
    </row>
    <row r="79" spans="1:11" x14ac:dyDescent="0.35">
      <c r="A79">
        <v>78</v>
      </c>
      <c r="B79" t="s">
        <v>118</v>
      </c>
      <c r="C79" s="3" t="s">
        <v>119</v>
      </c>
      <c r="D79">
        <v>6</v>
      </c>
      <c r="E79" t="s">
        <v>327</v>
      </c>
      <c r="F79" t="str">
        <f t="shared" si="5"/>
        <v>006</v>
      </c>
      <c r="G79" t="str">
        <f t="shared" si="6"/>
        <v>1792374995001006</v>
      </c>
      <c r="H79" t="s">
        <v>343</v>
      </c>
      <c r="I79" t="s">
        <v>398</v>
      </c>
      <c r="K79"/>
    </row>
    <row r="80" spans="1:11" x14ac:dyDescent="0.35">
      <c r="A80">
        <v>79</v>
      </c>
      <c r="B80" s="7" t="s">
        <v>120</v>
      </c>
      <c r="C80" s="4" t="s">
        <v>318</v>
      </c>
      <c r="D80" s="6">
        <v>11</v>
      </c>
      <c r="E80" t="s">
        <v>327</v>
      </c>
      <c r="F80" t="str">
        <f t="shared" si="5"/>
        <v>011</v>
      </c>
      <c r="G80" t="str">
        <f t="shared" si="6"/>
        <v>1791738233001011</v>
      </c>
      <c r="H80" t="s">
        <v>343</v>
      </c>
      <c r="I80" t="s">
        <v>398</v>
      </c>
      <c r="K80"/>
    </row>
    <row r="81" spans="1:11" x14ac:dyDescent="0.35">
      <c r="A81">
        <v>80</v>
      </c>
      <c r="B81" t="s">
        <v>121</v>
      </c>
      <c r="C81" s="3" t="s">
        <v>122</v>
      </c>
      <c r="D81">
        <v>1</v>
      </c>
      <c r="E81" t="s">
        <v>327</v>
      </c>
      <c r="F81" t="str">
        <f t="shared" si="5"/>
        <v>001</v>
      </c>
      <c r="G81" t="str">
        <f t="shared" si="6"/>
        <v>1792873223001001</v>
      </c>
      <c r="H81" t="s">
        <v>335</v>
      </c>
      <c r="I81" t="s">
        <v>398</v>
      </c>
      <c r="K81"/>
    </row>
    <row r="82" spans="1:11" x14ac:dyDescent="0.35">
      <c r="A82">
        <v>81</v>
      </c>
      <c r="B82" t="s">
        <v>123</v>
      </c>
      <c r="C82" s="3" t="s">
        <v>124</v>
      </c>
      <c r="D82">
        <v>7</v>
      </c>
      <c r="E82" t="s">
        <v>327</v>
      </c>
      <c r="F82" t="str">
        <f t="shared" si="5"/>
        <v>007</v>
      </c>
      <c r="G82" t="str">
        <f t="shared" si="6"/>
        <v>1793191201001007</v>
      </c>
      <c r="H82" t="s">
        <v>335</v>
      </c>
      <c r="I82" t="s">
        <v>398</v>
      </c>
      <c r="K82"/>
    </row>
    <row r="83" spans="1:11" x14ac:dyDescent="0.35">
      <c r="A83">
        <v>82</v>
      </c>
      <c r="B83" t="s">
        <v>125</v>
      </c>
      <c r="C83" s="3" t="s">
        <v>126</v>
      </c>
      <c r="D83">
        <v>7</v>
      </c>
      <c r="E83" t="s">
        <v>327</v>
      </c>
      <c r="F83" t="str">
        <f t="shared" si="5"/>
        <v>007</v>
      </c>
      <c r="G83" t="str">
        <f t="shared" si="6"/>
        <v>1391856792001007</v>
      </c>
      <c r="H83" t="s">
        <v>331</v>
      </c>
      <c r="I83" t="s">
        <v>398</v>
      </c>
      <c r="K83"/>
    </row>
    <row r="84" spans="1:11" x14ac:dyDescent="0.35">
      <c r="A84">
        <v>83</v>
      </c>
      <c r="B84" t="s">
        <v>127</v>
      </c>
      <c r="C84" s="3" t="s">
        <v>377</v>
      </c>
      <c r="D84">
        <v>5</v>
      </c>
      <c r="E84" t="s">
        <v>327</v>
      </c>
      <c r="F84" t="str">
        <f t="shared" si="5"/>
        <v>005</v>
      </c>
      <c r="G84" t="str">
        <f t="shared" si="6"/>
        <v>190341526001005</v>
      </c>
      <c r="H84" t="s">
        <v>334</v>
      </c>
      <c r="I84" t="s">
        <v>398</v>
      </c>
      <c r="K84"/>
    </row>
    <row r="85" spans="1:11" x14ac:dyDescent="0.35">
      <c r="A85">
        <v>84</v>
      </c>
      <c r="B85" t="s">
        <v>128</v>
      </c>
      <c r="C85" s="3" t="s">
        <v>19</v>
      </c>
      <c r="D85">
        <v>172</v>
      </c>
      <c r="E85" t="s">
        <v>327</v>
      </c>
      <c r="F85" t="str">
        <f t="shared" si="5"/>
        <v>172</v>
      </c>
      <c r="G85" t="str">
        <f t="shared" si="6"/>
        <v>1792072018001172</v>
      </c>
      <c r="H85" t="s">
        <v>343</v>
      </c>
      <c r="I85" t="s">
        <v>398</v>
      </c>
      <c r="K85"/>
    </row>
    <row r="86" spans="1:11" x14ac:dyDescent="0.35">
      <c r="A86">
        <v>85</v>
      </c>
      <c r="B86" t="s">
        <v>295</v>
      </c>
      <c r="C86" s="3" t="s">
        <v>296</v>
      </c>
      <c r="D86">
        <v>2</v>
      </c>
      <c r="E86" t="s">
        <v>327</v>
      </c>
      <c r="F86" t="str">
        <f t="shared" si="5"/>
        <v>002</v>
      </c>
      <c r="G86" t="str">
        <f t="shared" si="6"/>
        <v>1791082052001002</v>
      </c>
      <c r="H86" t="s">
        <v>331</v>
      </c>
      <c r="I86" t="s">
        <v>398</v>
      </c>
      <c r="K86"/>
    </row>
    <row r="87" spans="1:11" x14ac:dyDescent="0.35">
      <c r="A87">
        <v>86</v>
      </c>
      <c r="B87" t="s">
        <v>304</v>
      </c>
      <c r="C87" s="3" t="s">
        <v>305</v>
      </c>
      <c r="D87" t="s">
        <v>314</v>
      </c>
      <c r="E87" t="s">
        <v>327</v>
      </c>
      <c r="F87" t="str">
        <f t="shared" si="5"/>
        <v>NO HAY EN CONDADO</v>
      </c>
      <c r="H87" t="s">
        <v>344</v>
      </c>
      <c r="I87" t="s">
        <v>398</v>
      </c>
      <c r="K87"/>
    </row>
    <row r="88" spans="1:11" x14ac:dyDescent="0.35">
      <c r="A88">
        <v>87</v>
      </c>
      <c r="B88" s="7" t="s">
        <v>326</v>
      </c>
      <c r="C88" s="4" t="s">
        <v>385</v>
      </c>
      <c r="D88" s="6">
        <v>139</v>
      </c>
      <c r="E88" t="s">
        <v>327</v>
      </c>
      <c r="F88" t="str">
        <f t="shared" si="5"/>
        <v>139</v>
      </c>
      <c r="G88" t="str">
        <f t="shared" ref="G88:G112" si="7">C88&amp;F88</f>
        <v>990043027001139</v>
      </c>
      <c r="H88" t="s">
        <v>347</v>
      </c>
      <c r="I88" t="s">
        <v>398</v>
      </c>
      <c r="K88"/>
    </row>
    <row r="89" spans="1:11" x14ac:dyDescent="0.35">
      <c r="A89">
        <v>88</v>
      </c>
      <c r="B89" t="s">
        <v>129</v>
      </c>
      <c r="C89" s="3" t="s">
        <v>130</v>
      </c>
      <c r="D89">
        <v>6</v>
      </c>
      <c r="E89" t="s">
        <v>327</v>
      </c>
      <c r="F89" t="str">
        <f t="shared" si="5"/>
        <v>006</v>
      </c>
      <c r="G89" t="str">
        <f t="shared" si="7"/>
        <v>1704911500001006</v>
      </c>
      <c r="H89" t="s">
        <v>331</v>
      </c>
      <c r="I89" t="s">
        <v>398</v>
      </c>
      <c r="K89"/>
    </row>
    <row r="90" spans="1:11" x14ac:dyDescent="0.35">
      <c r="A90">
        <v>89</v>
      </c>
      <c r="B90" t="s">
        <v>131</v>
      </c>
      <c r="C90" s="3" t="s">
        <v>378</v>
      </c>
      <c r="D90">
        <v>18</v>
      </c>
      <c r="E90" t="s">
        <v>315</v>
      </c>
      <c r="F90" t="str">
        <f t="shared" si="5"/>
        <v>018</v>
      </c>
      <c r="G90" t="str">
        <f t="shared" si="7"/>
        <v>102311594001018</v>
      </c>
      <c r="H90" t="s">
        <v>339</v>
      </c>
      <c r="I90" t="s">
        <v>398</v>
      </c>
      <c r="K90"/>
    </row>
    <row r="91" spans="1:11" x14ac:dyDescent="0.35">
      <c r="A91">
        <v>90</v>
      </c>
      <c r="B91" t="s">
        <v>132</v>
      </c>
      <c r="C91" s="3" t="s">
        <v>133</v>
      </c>
      <c r="D91">
        <v>4</v>
      </c>
      <c r="E91" t="s">
        <v>327</v>
      </c>
      <c r="F91" t="str">
        <f t="shared" si="5"/>
        <v>004</v>
      </c>
      <c r="G91" t="str">
        <f t="shared" si="7"/>
        <v>1711193951001004</v>
      </c>
      <c r="H91" t="s">
        <v>339</v>
      </c>
      <c r="I91" t="s">
        <v>398</v>
      </c>
      <c r="K91"/>
    </row>
    <row r="92" spans="1:11" x14ac:dyDescent="0.35">
      <c r="A92">
        <v>91</v>
      </c>
      <c r="B92" t="s">
        <v>134</v>
      </c>
      <c r="C92" s="3" t="s">
        <v>379</v>
      </c>
      <c r="D92">
        <v>30</v>
      </c>
      <c r="E92" t="s">
        <v>327</v>
      </c>
      <c r="F92" t="str">
        <f t="shared" si="5"/>
        <v>030</v>
      </c>
      <c r="G92" t="str">
        <f t="shared" si="7"/>
        <v>990021058001030</v>
      </c>
      <c r="H92" t="s">
        <v>343</v>
      </c>
      <c r="I92" t="s">
        <v>398</v>
      </c>
      <c r="K92"/>
    </row>
    <row r="93" spans="1:11" x14ac:dyDescent="0.35">
      <c r="A93">
        <v>92</v>
      </c>
      <c r="B93" t="s">
        <v>135</v>
      </c>
      <c r="C93" s="3" t="s">
        <v>136</v>
      </c>
      <c r="D93">
        <v>22</v>
      </c>
      <c r="E93" t="s">
        <v>327</v>
      </c>
      <c r="F93" t="str">
        <f t="shared" si="5"/>
        <v>022</v>
      </c>
      <c r="G93" t="str">
        <f t="shared" si="7"/>
        <v>1792141486001022</v>
      </c>
      <c r="H93" t="s">
        <v>343</v>
      </c>
      <c r="I93" t="s">
        <v>398</v>
      </c>
      <c r="J93" t="s">
        <v>401</v>
      </c>
      <c r="K93"/>
    </row>
    <row r="94" spans="1:11" x14ac:dyDescent="0.35">
      <c r="A94">
        <v>93</v>
      </c>
      <c r="B94" t="s">
        <v>137</v>
      </c>
      <c r="C94" s="3" t="s">
        <v>138</v>
      </c>
      <c r="D94">
        <v>109</v>
      </c>
      <c r="E94" t="s">
        <v>327</v>
      </c>
      <c r="F94" t="str">
        <f t="shared" si="5"/>
        <v>109</v>
      </c>
      <c r="G94" t="str">
        <f t="shared" si="7"/>
        <v>1790016919001109</v>
      </c>
      <c r="H94" t="s">
        <v>338</v>
      </c>
      <c r="I94" t="s">
        <v>399</v>
      </c>
      <c r="J94" t="s">
        <v>401</v>
      </c>
      <c r="K94"/>
    </row>
    <row r="95" spans="1:11" x14ac:dyDescent="0.35">
      <c r="A95">
        <v>94</v>
      </c>
      <c r="B95" t="s">
        <v>139</v>
      </c>
      <c r="C95" s="3" t="s">
        <v>140</v>
      </c>
      <c r="D95">
        <v>12</v>
      </c>
      <c r="E95" t="s">
        <v>327</v>
      </c>
      <c r="F95" t="str">
        <f t="shared" si="5"/>
        <v>012</v>
      </c>
      <c r="G95" t="str">
        <f t="shared" si="7"/>
        <v>1792190851001012</v>
      </c>
      <c r="H95" t="s">
        <v>331</v>
      </c>
      <c r="I95" t="s">
        <v>398</v>
      </c>
      <c r="J95" t="s">
        <v>401</v>
      </c>
      <c r="K95"/>
    </row>
    <row r="96" spans="1:11" x14ac:dyDescent="0.35">
      <c r="A96">
        <v>95</v>
      </c>
      <c r="B96" t="s">
        <v>141</v>
      </c>
      <c r="C96" s="3" t="s">
        <v>142</v>
      </c>
      <c r="D96">
        <v>85</v>
      </c>
      <c r="E96" t="s">
        <v>327</v>
      </c>
      <c r="F96" t="str">
        <f t="shared" si="5"/>
        <v>085</v>
      </c>
      <c r="G96" t="str">
        <f t="shared" si="7"/>
        <v>1791415132001085</v>
      </c>
      <c r="H96" t="s">
        <v>343</v>
      </c>
      <c r="I96" t="s">
        <v>398</v>
      </c>
      <c r="J96" t="s">
        <v>401</v>
      </c>
      <c r="K96"/>
    </row>
    <row r="97" spans="1:11" x14ac:dyDescent="0.35">
      <c r="A97">
        <v>96</v>
      </c>
      <c r="B97" t="s">
        <v>354</v>
      </c>
      <c r="C97" s="3" t="s">
        <v>143</v>
      </c>
      <c r="D97">
        <v>9</v>
      </c>
      <c r="E97" t="s">
        <v>327</v>
      </c>
      <c r="F97" t="str">
        <f t="shared" si="5"/>
        <v>009</v>
      </c>
      <c r="G97" t="str">
        <f t="shared" si="7"/>
        <v>1791754115001009</v>
      </c>
      <c r="H97" t="s">
        <v>334</v>
      </c>
      <c r="I97" t="s">
        <v>398</v>
      </c>
      <c r="K97"/>
    </row>
    <row r="98" spans="1:11" x14ac:dyDescent="0.35">
      <c r="A98">
        <v>97</v>
      </c>
      <c r="B98" t="s">
        <v>144</v>
      </c>
      <c r="C98" s="3" t="s">
        <v>145</v>
      </c>
      <c r="D98">
        <v>7</v>
      </c>
      <c r="E98" t="s">
        <v>327</v>
      </c>
      <c r="F98" t="str">
        <f t="shared" si="5"/>
        <v>007</v>
      </c>
      <c r="G98" t="str">
        <f t="shared" si="7"/>
        <v>1791940105001007</v>
      </c>
      <c r="H98" t="s">
        <v>331</v>
      </c>
      <c r="I98" t="s">
        <v>398</v>
      </c>
      <c r="K98"/>
    </row>
    <row r="99" spans="1:11" x14ac:dyDescent="0.35">
      <c r="A99">
        <v>98</v>
      </c>
      <c r="B99" t="s">
        <v>355</v>
      </c>
      <c r="C99" s="3" t="s">
        <v>146</v>
      </c>
      <c r="D99">
        <v>14</v>
      </c>
      <c r="E99" t="s">
        <v>327</v>
      </c>
      <c r="F99" t="str">
        <f t="shared" ref="F99:F130" si="8">TEXT(D99,"000")</f>
        <v>014</v>
      </c>
      <c r="G99" t="str">
        <f t="shared" si="7"/>
        <v>1792256267001014</v>
      </c>
      <c r="H99" t="s">
        <v>343</v>
      </c>
      <c r="I99" t="s">
        <v>398</v>
      </c>
      <c r="K99"/>
    </row>
    <row r="100" spans="1:11" x14ac:dyDescent="0.35">
      <c r="A100">
        <v>99</v>
      </c>
      <c r="B100" t="s">
        <v>147</v>
      </c>
      <c r="C100" s="3" t="s">
        <v>148</v>
      </c>
      <c r="D100">
        <v>68</v>
      </c>
      <c r="E100" t="s">
        <v>327</v>
      </c>
      <c r="F100" t="str">
        <f t="shared" si="8"/>
        <v>068</v>
      </c>
      <c r="G100" t="str">
        <f t="shared" si="7"/>
        <v>1790236218001068</v>
      </c>
      <c r="H100" t="s">
        <v>338</v>
      </c>
      <c r="I100" t="s">
        <v>398</v>
      </c>
      <c r="K100"/>
    </row>
    <row r="101" spans="1:11" x14ac:dyDescent="0.35">
      <c r="A101">
        <v>100</v>
      </c>
      <c r="B101" t="s">
        <v>149</v>
      </c>
      <c r="C101" s="3" t="s">
        <v>150</v>
      </c>
      <c r="D101">
        <v>3</v>
      </c>
      <c r="E101" t="s">
        <v>327</v>
      </c>
      <c r="F101" t="str">
        <f t="shared" si="8"/>
        <v>003</v>
      </c>
      <c r="G101" t="str">
        <f t="shared" si="7"/>
        <v>1712512597001003</v>
      </c>
      <c r="H101" t="s">
        <v>339</v>
      </c>
      <c r="I101" t="s">
        <v>398</v>
      </c>
      <c r="K101"/>
    </row>
    <row r="102" spans="1:11" x14ac:dyDescent="0.35">
      <c r="A102">
        <v>101</v>
      </c>
      <c r="B102" t="s">
        <v>151</v>
      </c>
      <c r="C102" s="3" t="s">
        <v>152</v>
      </c>
      <c r="D102">
        <v>10</v>
      </c>
      <c r="E102" t="s">
        <v>327</v>
      </c>
      <c r="F102" t="str">
        <f t="shared" si="8"/>
        <v>010</v>
      </c>
      <c r="G102" t="str">
        <f t="shared" si="7"/>
        <v>1792510457001010</v>
      </c>
      <c r="H102" t="s">
        <v>343</v>
      </c>
      <c r="I102" t="s">
        <v>398</v>
      </c>
      <c r="K102"/>
    </row>
    <row r="103" spans="1:11" x14ac:dyDescent="0.35">
      <c r="A103">
        <v>102</v>
      </c>
      <c r="B103" t="s">
        <v>112</v>
      </c>
      <c r="C103" s="3" t="s">
        <v>113</v>
      </c>
      <c r="D103">
        <v>4</v>
      </c>
      <c r="E103" t="s">
        <v>327</v>
      </c>
      <c r="F103" t="str">
        <f t="shared" si="8"/>
        <v>004</v>
      </c>
      <c r="G103" t="str">
        <f t="shared" si="7"/>
        <v>1760345775001004</v>
      </c>
      <c r="H103" t="s">
        <v>344</v>
      </c>
      <c r="I103" t="s">
        <v>398</v>
      </c>
      <c r="K103"/>
    </row>
    <row r="104" spans="1:11" x14ac:dyDescent="0.35">
      <c r="A104">
        <v>103</v>
      </c>
      <c r="B104" t="s">
        <v>153</v>
      </c>
      <c r="C104" s="3" t="s">
        <v>154</v>
      </c>
      <c r="D104">
        <v>2</v>
      </c>
      <c r="E104" t="s">
        <v>327</v>
      </c>
      <c r="F104" t="str">
        <f t="shared" si="8"/>
        <v>002</v>
      </c>
      <c r="G104" t="str">
        <f t="shared" si="7"/>
        <v>1792539501001002</v>
      </c>
      <c r="H104" t="s">
        <v>343</v>
      </c>
      <c r="I104" t="s">
        <v>398</v>
      </c>
      <c r="K104"/>
    </row>
    <row r="105" spans="1:11" x14ac:dyDescent="0.35">
      <c r="A105">
        <v>104</v>
      </c>
      <c r="B105" t="s">
        <v>155</v>
      </c>
      <c r="C105" s="3" t="s">
        <v>156</v>
      </c>
      <c r="D105">
        <v>2</v>
      </c>
      <c r="E105" t="s">
        <v>327</v>
      </c>
      <c r="F105" t="str">
        <f t="shared" si="8"/>
        <v>002</v>
      </c>
      <c r="G105" t="str">
        <f t="shared" si="7"/>
        <v>1754705646001002</v>
      </c>
      <c r="H105" t="s">
        <v>339</v>
      </c>
      <c r="I105" t="s">
        <v>398</v>
      </c>
      <c r="K105"/>
    </row>
    <row r="106" spans="1:11" x14ac:dyDescent="0.35">
      <c r="A106">
        <v>105</v>
      </c>
      <c r="B106" t="s">
        <v>157</v>
      </c>
      <c r="C106" s="3" t="s">
        <v>380</v>
      </c>
      <c r="D106">
        <v>67</v>
      </c>
      <c r="E106" t="s">
        <v>327</v>
      </c>
      <c r="F106" t="str">
        <f t="shared" si="8"/>
        <v>067</v>
      </c>
      <c r="G106" t="str">
        <f t="shared" si="7"/>
        <v>190111881001067</v>
      </c>
      <c r="H106" t="s">
        <v>338</v>
      </c>
      <c r="I106" t="s">
        <v>398</v>
      </c>
      <c r="J106" t="s">
        <v>401</v>
      </c>
      <c r="K106"/>
    </row>
    <row r="107" spans="1:11" x14ac:dyDescent="0.35">
      <c r="A107">
        <v>106</v>
      </c>
      <c r="B107" t="s">
        <v>158</v>
      </c>
      <c r="C107" s="3" t="s">
        <v>159</v>
      </c>
      <c r="D107">
        <v>30</v>
      </c>
      <c r="E107" t="s">
        <v>327</v>
      </c>
      <c r="F107" t="str">
        <f t="shared" si="8"/>
        <v>030</v>
      </c>
      <c r="G107" t="str">
        <f t="shared" si="7"/>
        <v>1790994708001030</v>
      </c>
      <c r="H107" t="s">
        <v>331</v>
      </c>
      <c r="I107" t="s">
        <v>398</v>
      </c>
      <c r="K107"/>
    </row>
    <row r="108" spans="1:11" x14ac:dyDescent="0.35">
      <c r="A108">
        <v>107</v>
      </c>
      <c r="B108" t="s">
        <v>160</v>
      </c>
      <c r="C108" s="3" t="s">
        <v>161</v>
      </c>
      <c r="D108">
        <v>16</v>
      </c>
      <c r="E108" t="s">
        <v>327</v>
      </c>
      <c r="F108" t="str">
        <f t="shared" si="8"/>
        <v>016</v>
      </c>
      <c r="G108" t="str">
        <f t="shared" si="7"/>
        <v>1791249879001016</v>
      </c>
      <c r="H108" t="s">
        <v>331</v>
      </c>
      <c r="I108" t="s">
        <v>398</v>
      </c>
      <c r="K108"/>
    </row>
    <row r="109" spans="1:11" x14ac:dyDescent="0.35">
      <c r="A109">
        <v>108</v>
      </c>
      <c r="B109" t="s">
        <v>162</v>
      </c>
      <c r="C109" s="3" t="s">
        <v>163</v>
      </c>
      <c r="D109">
        <v>45</v>
      </c>
      <c r="E109" t="s">
        <v>327</v>
      </c>
      <c r="F109" t="str">
        <f t="shared" si="8"/>
        <v>045</v>
      </c>
      <c r="G109" t="str">
        <f t="shared" si="7"/>
        <v>1791915313001045</v>
      </c>
      <c r="H109" t="s">
        <v>331</v>
      </c>
      <c r="I109" t="s">
        <v>398</v>
      </c>
      <c r="K109"/>
    </row>
    <row r="110" spans="1:11" x14ac:dyDescent="0.35">
      <c r="A110">
        <v>109</v>
      </c>
      <c r="B110" t="s">
        <v>356</v>
      </c>
      <c r="C110" s="3" t="s">
        <v>381</v>
      </c>
      <c r="D110">
        <v>150</v>
      </c>
      <c r="E110" t="s">
        <v>327</v>
      </c>
      <c r="F110" t="str">
        <f t="shared" si="8"/>
        <v>150</v>
      </c>
      <c r="G110" t="str">
        <f t="shared" si="7"/>
        <v>990967946001150</v>
      </c>
      <c r="H110" t="s">
        <v>332</v>
      </c>
      <c r="I110" t="s">
        <v>398</v>
      </c>
      <c r="K110"/>
    </row>
    <row r="111" spans="1:11" x14ac:dyDescent="0.35">
      <c r="A111">
        <v>110</v>
      </c>
      <c r="B111" t="s">
        <v>357</v>
      </c>
      <c r="C111" s="3" t="s">
        <v>381</v>
      </c>
      <c r="D111">
        <v>151</v>
      </c>
      <c r="E111" t="s">
        <v>327</v>
      </c>
      <c r="F111" t="str">
        <f t="shared" si="8"/>
        <v>151</v>
      </c>
      <c r="G111" t="str">
        <f t="shared" si="7"/>
        <v>990967946001151</v>
      </c>
      <c r="H111" t="s">
        <v>332</v>
      </c>
      <c r="I111" t="s">
        <v>398</v>
      </c>
      <c r="K111"/>
    </row>
    <row r="112" spans="1:11" x14ac:dyDescent="0.35">
      <c r="A112">
        <v>111</v>
      </c>
      <c r="B112" t="s">
        <v>357</v>
      </c>
      <c r="C112" s="3" t="s">
        <v>381</v>
      </c>
      <c r="D112">
        <v>483</v>
      </c>
      <c r="E112" t="s">
        <v>327</v>
      </c>
      <c r="F112" t="str">
        <f t="shared" si="8"/>
        <v>483</v>
      </c>
      <c r="G112" t="str">
        <f t="shared" si="7"/>
        <v>990967946001483</v>
      </c>
      <c r="H112" t="s">
        <v>332</v>
      </c>
      <c r="I112" t="s">
        <v>398</v>
      </c>
      <c r="K112"/>
    </row>
    <row r="113" spans="1:11" x14ac:dyDescent="0.35">
      <c r="A113">
        <v>112</v>
      </c>
      <c r="B113" t="s">
        <v>164</v>
      </c>
      <c r="C113" s="3" t="s">
        <v>165</v>
      </c>
      <c r="D113" t="s">
        <v>316</v>
      </c>
      <c r="E113" t="s">
        <v>327</v>
      </c>
      <c r="F113" t="str">
        <f t="shared" si="8"/>
        <v>NO HAY ESPECIFICO PARA CONDADO</v>
      </c>
      <c r="H113" t="s">
        <v>332</v>
      </c>
      <c r="I113" t="s">
        <v>398</v>
      </c>
      <c r="K113"/>
    </row>
    <row r="114" spans="1:11" x14ac:dyDescent="0.35">
      <c r="A114">
        <v>113</v>
      </c>
      <c r="B114" t="s">
        <v>166</v>
      </c>
      <c r="C114" s="3" t="s">
        <v>103</v>
      </c>
      <c r="D114">
        <v>51</v>
      </c>
      <c r="E114" t="s">
        <v>327</v>
      </c>
      <c r="F114" t="str">
        <f t="shared" si="8"/>
        <v>051</v>
      </c>
      <c r="G114" t="str">
        <f t="shared" ref="G114:G123" si="9">C114&amp;F114</f>
        <v>1791413237001051</v>
      </c>
      <c r="H114" t="s">
        <v>331</v>
      </c>
      <c r="I114" t="s">
        <v>399</v>
      </c>
      <c r="J114" t="s">
        <v>401</v>
      </c>
      <c r="K114"/>
    </row>
    <row r="115" spans="1:11" x14ac:dyDescent="0.35">
      <c r="A115">
        <v>114</v>
      </c>
      <c r="B115" t="s">
        <v>167</v>
      </c>
      <c r="C115" s="3" t="s">
        <v>168</v>
      </c>
      <c r="D115">
        <v>151</v>
      </c>
      <c r="E115" t="s">
        <v>327</v>
      </c>
      <c r="F115" t="str">
        <f t="shared" si="8"/>
        <v>151</v>
      </c>
      <c r="G115" t="str">
        <f t="shared" si="9"/>
        <v>1790397815001151</v>
      </c>
      <c r="H115" t="s">
        <v>331</v>
      </c>
      <c r="I115" t="s">
        <v>398</v>
      </c>
      <c r="K115"/>
    </row>
    <row r="116" spans="1:11" x14ac:dyDescent="0.35">
      <c r="A116">
        <v>115</v>
      </c>
      <c r="B116" t="s">
        <v>169</v>
      </c>
      <c r="C116" s="3" t="s">
        <v>170</v>
      </c>
      <c r="D116">
        <v>1</v>
      </c>
      <c r="E116" t="s">
        <v>327</v>
      </c>
      <c r="F116" t="str">
        <f t="shared" si="8"/>
        <v>001</v>
      </c>
      <c r="G116" t="str">
        <f t="shared" si="9"/>
        <v>1712738994001001</v>
      </c>
      <c r="H116" t="s">
        <v>333</v>
      </c>
      <c r="I116" t="s">
        <v>398</v>
      </c>
      <c r="K116"/>
    </row>
    <row r="117" spans="1:11" x14ac:dyDescent="0.35">
      <c r="A117">
        <v>116</v>
      </c>
      <c r="B117" t="s">
        <v>171</v>
      </c>
      <c r="C117" s="3" t="s">
        <v>172</v>
      </c>
      <c r="D117">
        <v>12</v>
      </c>
      <c r="E117" t="s">
        <v>327</v>
      </c>
      <c r="F117" t="str">
        <f t="shared" si="8"/>
        <v>012</v>
      </c>
      <c r="G117" t="str">
        <f t="shared" si="9"/>
        <v>1791284321001012</v>
      </c>
      <c r="H117" t="s">
        <v>344</v>
      </c>
      <c r="I117" t="s">
        <v>398</v>
      </c>
      <c r="J117" t="s">
        <v>401</v>
      </c>
      <c r="K117"/>
    </row>
    <row r="118" spans="1:11" x14ac:dyDescent="0.35">
      <c r="A118">
        <v>117</v>
      </c>
      <c r="B118" t="s">
        <v>173</v>
      </c>
      <c r="C118" s="3" t="s">
        <v>37</v>
      </c>
      <c r="D118">
        <v>57</v>
      </c>
      <c r="E118" t="s">
        <v>327</v>
      </c>
      <c r="F118" t="str">
        <f t="shared" si="8"/>
        <v>057</v>
      </c>
      <c r="G118" t="str">
        <f t="shared" si="9"/>
        <v>1792003881001057</v>
      </c>
      <c r="H118" t="s">
        <v>343</v>
      </c>
      <c r="I118" t="s">
        <v>398</v>
      </c>
      <c r="K118"/>
    </row>
    <row r="119" spans="1:11" x14ac:dyDescent="0.35">
      <c r="A119">
        <v>118</v>
      </c>
      <c r="B119" t="s">
        <v>174</v>
      </c>
      <c r="C119" s="3" t="s">
        <v>175</v>
      </c>
      <c r="D119">
        <v>23</v>
      </c>
      <c r="E119" t="s">
        <v>327</v>
      </c>
      <c r="F119" t="str">
        <f t="shared" ref="F119" si="10">TEXT(D119,"000")</f>
        <v>023</v>
      </c>
      <c r="G119" t="str">
        <f t="shared" ref="G119" si="11">C119&amp;F119</f>
        <v>1791308832001023</v>
      </c>
      <c r="H119" t="s">
        <v>343</v>
      </c>
      <c r="I119" t="s">
        <v>398</v>
      </c>
      <c r="J119" t="s">
        <v>401</v>
      </c>
      <c r="K119"/>
    </row>
    <row r="120" spans="1:11" x14ac:dyDescent="0.35">
      <c r="A120">
        <v>119</v>
      </c>
      <c r="B120" t="s">
        <v>403</v>
      </c>
      <c r="C120" s="3" t="s">
        <v>175</v>
      </c>
      <c r="D120">
        <v>24</v>
      </c>
      <c r="E120" t="s">
        <v>327</v>
      </c>
      <c r="F120" t="str">
        <f t="shared" si="8"/>
        <v>024</v>
      </c>
      <c r="G120" t="str">
        <f t="shared" si="9"/>
        <v>1791308832001024</v>
      </c>
      <c r="H120" t="s">
        <v>343</v>
      </c>
      <c r="I120" t="s">
        <v>398</v>
      </c>
      <c r="J120" t="s">
        <v>401</v>
      </c>
      <c r="K120"/>
    </row>
    <row r="121" spans="1:11" x14ac:dyDescent="0.35">
      <c r="A121">
        <v>120</v>
      </c>
      <c r="B121" t="s">
        <v>176</v>
      </c>
      <c r="C121" s="3" t="s">
        <v>163</v>
      </c>
      <c r="D121">
        <v>17</v>
      </c>
      <c r="E121" t="s">
        <v>327</v>
      </c>
      <c r="F121" t="str">
        <f t="shared" si="8"/>
        <v>017</v>
      </c>
      <c r="G121" t="str">
        <f t="shared" si="9"/>
        <v>1791915313001017</v>
      </c>
      <c r="H121" t="s">
        <v>331</v>
      </c>
      <c r="I121" t="s">
        <v>398</v>
      </c>
      <c r="J121" t="s">
        <v>401</v>
      </c>
      <c r="K121"/>
    </row>
    <row r="122" spans="1:11" x14ac:dyDescent="0.35">
      <c r="A122">
        <v>121</v>
      </c>
      <c r="B122" t="s">
        <v>358</v>
      </c>
      <c r="C122" s="3" t="s">
        <v>138</v>
      </c>
      <c r="D122">
        <v>107</v>
      </c>
      <c r="E122" t="s">
        <v>327</v>
      </c>
      <c r="F122" t="str">
        <f t="shared" si="8"/>
        <v>107</v>
      </c>
      <c r="G122" t="str">
        <f t="shared" si="9"/>
        <v>1790016919001107</v>
      </c>
      <c r="H122" t="s">
        <v>400</v>
      </c>
      <c r="I122" t="s">
        <v>399</v>
      </c>
      <c r="J122" t="s">
        <v>401</v>
      </c>
      <c r="K122"/>
    </row>
    <row r="123" spans="1:11" x14ac:dyDescent="0.35">
      <c r="A123">
        <v>122</v>
      </c>
      <c r="B123" t="s">
        <v>177</v>
      </c>
      <c r="C123" s="3" t="s">
        <v>178</v>
      </c>
      <c r="D123">
        <v>3</v>
      </c>
      <c r="E123" t="s">
        <v>327</v>
      </c>
      <c r="F123" t="str">
        <f t="shared" si="8"/>
        <v>003</v>
      </c>
      <c r="G123" t="str">
        <f t="shared" si="9"/>
        <v>1002698171001003</v>
      </c>
      <c r="H123" t="s">
        <v>338</v>
      </c>
      <c r="I123" t="s">
        <v>398</v>
      </c>
      <c r="K123"/>
    </row>
    <row r="124" spans="1:11" x14ac:dyDescent="0.35">
      <c r="A124">
        <v>123</v>
      </c>
      <c r="B124" t="s">
        <v>179</v>
      </c>
      <c r="C124" s="3" t="s">
        <v>180</v>
      </c>
      <c r="D124" t="s">
        <v>320</v>
      </c>
      <c r="E124" t="s">
        <v>315</v>
      </c>
      <c r="F124" t="str">
        <f t="shared" si="8"/>
        <v>13/14</v>
      </c>
      <c r="H124" t="s">
        <v>331</v>
      </c>
      <c r="I124" t="s">
        <v>398</v>
      </c>
      <c r="K124"/>
    </row>
    <row r="125" spans="1:11" x14ac:dyDescent="0.35">
      <c r="A125">
        <v>124</v>
      </c>
      <c r="B125" t="s">
        <v>181</v>
      </c>
      <c r="C125" s="3" t="s">
        <v>182</v>
      </c>
      <c r="D125">
        <v>2</v>
      </c>
      <c r="E125" t="s">
        <v>327</v>
      </c>
      <c r="F125" t="str">
        <f t="shared" si="8"/>
        <v>002</v>
      </c>
      <c r="G125" t="str">
        <f>C125&amp;F125</f>
        <v>1726461443001002</v>
      </c>
      <c r="H125" t="s">
        <v>331</v>
      </c>
      <c r="I125" t="s">
        <v>398</v>
      </c>
      <c r="K125"/>
    </row>
    <row r="126" spans="1:11" x14ac:dyDescent="0.35">
      <c r="A126">
        <v>125</v>
      </c>
      <c r="B126" t="s">
        <v>183</v>
      </c>
      <c r="C126" s="3" t="s">
        <v>184</v>
      </c>
      <c r="D126">
        <v>9</v>
      </c>
      <c r="E126" t="s">
        <v>327</v>
      </c>
      <c r="F126" t="str">
        <f t="shared" si="8"/>
        <v>009</v>
      </c>
      <c r="G126" t="str">
        <f>C126&amp;F126</f>
        <v>1792144566001009</v>
      </c>
      <c r="H126" t="s">
        <v>338</v>
      </c>
      <c r="I126" t="s">
        <v>398</v>
      </c>
      <c r="J126" t="s">
        <v>401</v>
      </c>
      <c r="K126"/>
    </row>
    <row r="127" spans="1:11" x14ac:dyDescent="0.35">
      <c r="A127">
        <v>126</v>
      </c>
      <c r="B127" t="s">
        <v>185</v>
      </c>
      <c r="C127" s="3" t="s">
        <v>186</v>
      </c>
      <c r="D127">
        <v>5</v>
      </c>
      <c r="E127" t="s">
        <v>315</v>
      </c>
      <c r="F127" t="str">
        <f t="shared" si="8"/>
        <v>005</v>
      </c>
      <c r="G127" t="str">
        <f>C127&amp;F127</f>
        <v>1701284570001005</v>
      </c>
      <c r="H127" t="s">
        <v>343</v>
      </c>
      <c r="I127" t="s">
        <v>398</v>
      </c>
      <c r="K127"/>
    </row>
    <row r="128" spans="1:11" x14ac:dyDescent="0.35">
      <c r="A128">
        <v>127</v>
      </c>
      <c r="B128" t="s">
        <v>187</v>
      </c>
      <c r="C128" s="3" t="s">
        <v>188</v>
      </c>
      <c r="D128" t="s">
        <v>319</v>
      </c>
      <c r="E128" t="s">
        <v>315</v>
      </c>
      <c r="F128" t="str">
        <f t="shared" si="8"/>
        <v>117/166/197</v>
      </c>
      <c r="H128" t="s">
        <v>345</v>
      </c>
      <c r="I128" t="s">
        <v>398</v>
      </c>
      <c r="K128"/>
    </row>
    <row r="129" spans="1:11" x14ac:dyDescent="0.35">
      <c r="A129">
        <v>128</v>
      </c>
      <c r="B129" t="s">
        <v>189</v>
      </c>
      <c r="C129" s="3" t="s">
        <v>190</v>
      </c>
      <c r="D129" t="s">
        <v>316</v>
      </c>
      <c r="E129" t="s">
        <v>327</v>
      </c>
      <c r="F129" t="str">
        <f t="shared" si="8"/>
        <v>NO HAY ESPECIFICO PARA CONDADO</v>
      </c>
      <c r="H129" t="s">
        <v>345</v>
      </c>
      <c r="I129" t="s">
        <v>398</v>
      </c>
      <c r="K129"/>
    </row>
    <row r="130" spans="1:11" x14ac:dyDescent="0.35">
      <c r="A130">
        <v>129</v>
      </c>
      <c r="B130" t="s">
        <v>340</v>
      </c>
      <c r="C130" s="3" t="s">
        <v>191</v>
      </c>
      <c r="D130">
        <v>4</v>
      </c>
      <c r="E130" t="s">
        <v>327</v>
      </c>
      <c r="F130" t="str">
        <f t="shared" si="8"/>
        <v>004</v>
      </c>
      <c r="G130" t="str">
        <f t="shared" ref="G130:G138" si="12">C130&amp;F130</f>
        <v>1791397339001004</v>
      </c>
      <c r="H130" t="s">
        <v>348</v>
      </c>
      <c r="I130" t="s">
        <v>398</v>
      </c>
      <c r="K130"/>
    </row>
    <row r="131" spans="1:11" x14ac:dyDescent="0.35">
      <c r="A131">
        <v>130</v>
      </c>
      <c r="B131" t="s">
        <v>192</v>
      </c>
      <c r="C131" s="3" t="s">
        <v>193</v>
      </c>
      <c r="D131">
        <v>7</v>
      </c>
      <c r="E131" t="s">
        <v>327</v>
      </c>
      <c r="F131" t="str">
        <f t="shared" ref="F131:F162" si="13">TEXT(D131,"000")</f>
        <v>007</v>
      </c>
      <c r="G131" t="str">
        <f t="shared" si="12"/>
        <v>1792379253001007</v>
      </c>
      <c r="H131" t="s">
        <v>335</v>
      </c>
      <c r="I131" t="s">
        <v>398</v>
      </c>
      <c r="J131" t="s">
        <v>401</v>
      </c>
      <c r="K131"/>
    </row>
    <row r="132" spans="1:11" x14ac:dyDescent="0.35">
      <c r="A132">
        <v>131</v>
      </c>
      <c r="B132" t="s">
        <v>194</v>
      </c>
      <c r="C132" s="3" t="s">
        <v>195</v>
      </c>
      <c r="D132">
        <v>6</v>
      </c>
      <c r="E132" t="s">
        <v>327</v>
      </c>
      <c r="F132" t="str">
        <f t="shared" si="13"/>
        <v>006</v>
      </c>
      <c r="G132" t="str">
        <f t="shared" si="12"/>
        <v>1791309863001006</v>
      </c>
      <c r="H132" t="s">
        <v>335</v>
      </c>
      <c r="I132" t="s">
        <v>399</v>
      </c>
      <c r="J132" t="s">
        <v>401</v>
      </c>
      <c r="K132"/>
    </row>
    <row r="133" spans="1:11" x14ac:dyDescent="0.35">
      <c r="A133">
        <v>132</v>
      </c>
      <c r="B133" t="s">
        <v>196</v>
      </c>
      <c r="C133" s="3" t="s">
        <v>382</v>
      </c>
      <c r="D133">
        <v>13</v>
      </c>
      <c r="E133" t="s">
        <v>327</v>
      </c>
      <c r="F133" t="str">
        <f t="shared" si="13"/>
        <v>013</v>
      </c>
      <c r="G133" t="str">
        <f t="shared" si="12"/>
        <v>190459136001013</v>
      </c>
      <c r="H133" t="s">
        <v>338</v>
      </c>
      <c r="I133" t="s">
        <v>398</v>
      </c>
      <c r="K133"/>
    </row>
    <row r="134" spans="1:11" x14ac:dyDescent="0.35">
      <c r="A134">
        <v>133</v>
      </c>
      <c r="B134" t="s">
        <v>197</v>
      </c>
      <c r="C134" s="3" t="s">
        <v>198</v>
      </c>
      <c r="D134">
        <v>7</v>
      </c>
      <c r="E134" t="s">
        <v>327</v>
      </c>
      <c r="F134" t="str">
        <f t="shared" si="13"/>
        <v>007</v>
      </c>
      <c r="G134" t="str">
        <f t="shared" si="12"/>
        <v>1793160921001007</v>
      </c>
      <c r="H134" t="s">
        <v>344</v>
      </c>
      <c r="I134" t="s">
        <v>398</v>
      </c>
      <c r="K134"/>
    </row>
    <row r="135" spans="1:11" x14ac:dyDescent="0.35">
      <c r="A135">
        <v>134</v>
      </c>
      <c r="B135" t="s">
        <v>199</v>
      </c>
      <c r="C135" s="3" t="s">
        <v>200</v>
      </c>
      <c r="D135">
        <v>31</v>
      </c>
      <c r="E135" t="s">
        <v>327</v>
      </c>
      <c r="F135" t="str">
        <f t="shared" si="13"/>
        <v>031</v>
      </c>
      <c r="G135" t="str">
        <f t="shared" si="12"/>
        <v>1790075494001031</v>
      </c>
      <c r="H135" t="s">
        <v>336</v>
      </c>
      <c r="I135" t="s">
        <v>398</v>
      </c>
      <c r="K135"/>
    </row>
    <row r="136" spans="1:11" x14ac:dyDescent="0.35">
      <c r="A136">
        <v>135</v>
      </c>
      <c r="B136" t="s">
        <v>201</v>
      </c>
      <c r="C136" s="3" t="s">
        <v>202</v>
      </c>
      <c r="D136">
        <v>4</v>
      </c>
      <c r="E136" t="s">
        <v>327</v>
      </c>
      <c r="F136" t="str">
        <f t="shared" si="13"/>
        <v>004</v>
      </c>
      <c r="G136" t="str">
        <f t="shared" si="12"/>
        <v>1792423309001004</v>
      </c>
      <c r="H136" t="s">
        <v>330</v>
      </c>
      <c r="I136" t="s">
        <v>398</v>
      </c>
      <c r="J136" t="s">
        <v>401</v>
      </c>
      <c r="K136"/>
    </row>
    <row r="137" spans="1:11" x14ac:dyDescent="0.35">
      <c r="A137">
        <v>136</v>
      </c>
      <c r="B137" t="s">
        <v>203</v>
      </c>
      <c r="C137" s="3" t="s">
        <v>204</v>
      </c>
      <c r="D137">
        <v>4</v>
      </c>
      <c r="E137" t="s">
        <v>327</v>
      </c>
      <c r="F137" t="str">
        <f t="shared" si="13"/>
        <v>004</v>
      </c>
      <c r="G137" t="str">
        <f t="shared" si="12"/>
        <v>1793178650001004</v>
      </c>
      <c r="H137" t="s">
        <v>331</v>
      </c>
      <c r="I137" t="s">
        <v>398</v>
      </c>
      <c r="K137"/>
    </row>
    <row r="138" spans="1:11" x14ac:dyDescent="0.35">
      <c r="A138">
        <v>137</v>
      </c>
      <c r="B138" t="s">
        <v>205</v>
      </c>
      <c r="C138" s="3" t="s">
        <v>206</v>
      </c>
      <c r="D138">
        <v>22</v>
      </c>
      <c r="E138" t="s">
        <v>327</v>
      </c>
      <c r="F138" t="str">
        <f t="shared" si="13"/>
        <v>022</v>
      </c>
      <c r="G138" t="str">
        <f t="shared" si="12"/>
        <v>1791287541001022</v>
      </c>
      <c r="H138" t="s">
        <v>344</v>
      </c>
      <c r="I138" t="s">
        <v>398</v>
      </c>
      <c r="K138"/>
    </row>
    <row r="139" spans="1:11" x14ac:dyDescent="0.35">
      <c r="A139">
        <v>138</v>
      </c>
      <c r="B139" t="s">
        <v>207</v>
      </c>
      <c r="C139" s="3" t="s">
        <v>146</v>
      </c>
      <c r="D139" t="s">
        <v>314</v>
      </c>
      <c r="E139" t="s">
        <v>327</v>
      </c>
      <c r="F139" t="str">
        <f t="shared" si="13"/>
        <v>NO HAY EN CONDADO</v>
      </c>
      <c r="H139" t="s">
        <v>343</v>
      </c>
      <c r="I139" t="s">
        <v>398</v>
      </c>
      <c r="K139"/>
    </row>
    <row r="140" spans="1:11" x14ac:dyDescent="0.35">
      <c r="A140">
        <v>139</v>
      </c>
      <c r="B140" t="s">
        <v>208</v>
      </c>
      <c r="C140" s="3" t="s">
        <v>209</v>
      </c>
      <c r="D140">
        <v>2</v>
      </c>
      <c r="E140" t="s">
        <v>327</v>
      </c>
      <c r="F140" t="str">
        <f t="shared" si="13"/>
        <v>002</v>
      </c>
      <c r="G140" t="str">
        <f t="shared" ref="G140:G166" si="14">C140&amp;F140</f>
        <v>1790007871001002</v>
      </c>
      <c r="H140" t="s">
        <v>338</v>
      </c>
      <c r="I140" t="s">
        <v>398</v>
      </c>
      <c r="K140"/>
    </row>
    <row r="141" spans="1:11" x14ac:dyDescent="0.35">
      <c r="A141">
        <v>140</v>
      </c>
      <c r="B141" t="s">
        <v>210</v>
      </c>
      <c r="C141" s="3" t="s">
        <v>383</v>
      </c>
      <c r="D141">
        <v>13</v>
      </c>
      <c r="E141" t="s">
        <v>327</v>
      </c>
      <c r="F141" t="str">
        <f t="shared" si="13"/>
        <v>013</v>
      </c>
      <c r="G141" t="str">
        <f t="shared" si="14"/>
        <v>991408843001013</v>
      </c>
      <c r="H141" t="s">
        <v>338</v>
      </c>
      <c r="I141" t="s">
        <v>398</v>
      </c>
      <c r="K141"/>
    </row>
    <row r="142" spans="1:11" x14ac:dyDescent="0.35">
      <c r="A142">
        <v>141</v>
      </c>
      <c r="B142" t="s">
        <v>211</v>
      </c>
      <c r="C142" s="3" t="s">
        <v>212</v>
      </c>
      <c r="D142">
        <v>43</v>
      </c>
      <c r="E142" t="s">
        <v>327</v>
      </c>
      <c r="F142" t="str">
        <f t="shared" si="13"/>
        <v>043</v>
      </c>
      <c r="G142" t="str">
        <f t="shared" si="14"/>
        <v>1790558886001043</v>
      </c>
      <c r="H142" t="s">
        <v>341</v>
      </c>
      <c r="I142" t="s">
        <v>398</v>
      </c>
      <c r="K142"/>
    </row>
    <row r="143" spans="1:11" x14ac:dyDescent="0.35">
      <c r="A143">
        <v>142</v>
      </c>
      <c r="B143" t="s">
        <v>213</v>
      </c>
      <c r="C143" s="3" t="s">
        <v>384</v>
      </c>
      <c r="D143">
        <v>25</v>
      </c>
      <c r="E143" t="s">
        <v>327</v>
      </c>
      <c r="F143" t="str">
        <f t="shared" si="13"/>
        <v>025</v>
      </c>
      <c r="G143" t="str">
        <f t="shared" si="14"/>
        <v>992413077001025</v>
      </c>
      <c r="H143" t="s">
        <v>341</v>
      </c>
      <c r="I143" t="s">
        <v>398</v>
      </c>
      <c r="K143"/>
    </row>
    <row r="144" spans="1:11" x14ac:dyDescent="0.35">
      <c r="A144">
        <v>143</v>
      </c>
      <c r="B144" t="s">
        <v>214</v>
      </c>
      <c r="C144" s="3" t="s">
        <v>385</v>
      </c>
      <c r="D144">
        <v>154</v>
      </c>
      <c r="E144" t="s">
        <v>315</v>
      </c>
      <c r="F144" t="str">
        <f t="shared" si="13"/>
        <v>154</v>
      </c>
      <c r="G144" t="str">
        <f t="shared" si="14"/>
        <v>990043027001154</v>
      </c>
      <c r="H144" t="s">
        <v>338</v>
      </c>
      <c r="I144" t="s">
        <v>398</v>
      </c>
      <c r="K144"/>
    </row>
    <row r="145" spans="1:11" x14ac:dyDescent="0.35">
      <c r="A145">
        <v>144</v>
      </c>
      <c r="B145" t="s">
        <v>215</v>
      </c>
      <c r="C145" s="3" t="s">
        <v>216</v>
      </c>
      <c r="D145">
        <v>6</v>
      </c>
      <c r="E145" t="s">
        <v>327</v>
      </c>
      <c r="F145" t="str">
        <f t="shared" si="13"/>
        <v>006</v>
      </c>
      <c r="G145" t="str">
        <f t="shared" si="14"/>
        <v>1792879477001006</v>
      </c>
      <c r="H145" t="s">
        <v>339</v>
      </c>
      <c r="I145" t="s">
        <v>398</v>
      </c>
      <c r="K145"/>
    </row>
    <row r="146" spans="1:11" x14ac:dyDescent="0.35">
      <c r="A146">
        <v>145</v>
      </c>
      <c r="B146" t="s">
        <v>217</v>
      </c>
      <c r="C146" s="3" t="s">
        <v>13</v>
      </c>
      <c r="D146">
        <v>17</v>
      </c>
      <c r="E146" t="s">
        <v>327</v>
      </c>
      <c r="F146" t="str">
        <f t="shared" si="13"/>
        <v>017</v>
      </c>
      <c r="G146" t="str">
        <f t="shared" si="14"/>
        <v>1792278791001017</v>
      </c>
      <c r="H146" t="s">
        <v>331</v>
      </c>
      <c r="I146" t="s">
        <v>398</v>
      </c>
      <c r="K146"/>
    </row>
    <row r="147" spans="1:11" x14ac:dyDescent="0.35">
      <c r="A147">
        <v>146</v>
      </c>
      <c r="B147" t="s">
        <v>218</v>
      </c>
      <c r="C147" s="3" t="s">
        <v>219</v>
      </c>
      <c r="D147">
        <v>15</v>
      </c>
      <c r="E147" t="s">
        <v>327</v>
      </c>
      <c r="F147" t="str">
        <f t="shared" si="13"/>
        <v>015</v>
      </c>
      <c r="G147" t="str">
        <f t="shared" si="14"/>
        <v>1791253787001015</v>
      </c>
      <c r="H147" t="s">
        <v>331</v>
      </c>
      <c r="I147" t="s">
        <v>398</v>
      </c>
      <c r="K147"/>
    </row>
    <row r="148" spans="1:11" x14ac:dyDescent="0.35">
      <c r="A148">
        <v>147</v>
      </c>
      <c r="B148" t="s">
        <v>220</v>
      </c>
      <c r="C148" s="3" t="s">
        <v>221</v>
      </c>
      <c r="D148">
        <v>35</v>
      </c>
      <c r="E148" t="s">
        <v>327</v>
      </c>
      <c r="F148" t="str">
        <f t="shared" si="13"/>
        <v>035</v>
      </c>
      <c r="G148" t="str">
        <f t="shared" si="14"/>
        <v>1791807529001035</v>
      </c>
      <c r="H148" t="s">
        <v>331</v>
      </c>
      <c r="I148" t="s">
        <v>398</v>
      </c>
      <c r="K148"/>
    </row>
    <row r="149" spans="1:11" x14ac:dyDescent="0.35">
      <c r="A149">
        <v>148</v>
      </c>
      <c r="B149" t="s">
        <v>359</v>
      </c>
      <c r="C149" s="3" t="s">
        <v>222</v>
      </c>
      <c r="D149">
        <v>1</v>
      </c>
      <c r="E149" t="s">
        <v>327</v>
      </c>
      <c r="F149" t="str">
        <f t="shared" si="13"/>
        <v>001</v>
      </c>
      <c r="G149" t="str">
        <f t="shared" si="14"/>
        <v>1793198913001001</v>
      </c>
      <c r="H149" t="s">
        <v>333</v>
      </c>
      <c r="I149" t="s">
        <v>398</v>
      </c>
      <c r="K149"/>
    </row>
    <row r="150" spans="1:11" x14ac:dyDescent="0.35">
      <c r="A150">
        <v>149</v>
      </c>
      <c r="B150" t="s">
        <v>359</v>
      </c>
      <c r="C150" s="3" t="s">
        <v>223</v>
      </c>
      <c r="D150">
        <v>1</v>
      </c>
      <c r="E150" t="s">
        <v>327</v>
      </c>
      <c r="F150" t="str">
        <f t="shared" si="13"/>
        <v>001</v>
      </c>
      <c r="G150" t="str">
        <f t="shared" si="14"/>
        <v>1793198907001001</v>
      </c>
      <c r="H150" t="s">
        <v>333</v>
      </c>
      <c r="I150" t="s">
        <v>398</v>
      </c>
      <c r="K150"/>
    </row>
    <row r="151" spans="1:11" x14ac:dyDescent="0.35">
      <c r="A151">
        <v>150</v>
      </c>
      <c r="B151" t="s">
        <v>224</v>
      </c>
      <c r="C151" s="3" t="s">
        <v>386</v>
      </c>
      <c r="D151">
        <v>671</v>
      </c>
      <c r="E151" t="s">
        <v>327</v>
      </c>
      <c r="F151" t="str">
        <f t="shared" si="13"/>
        <v>671</v>
      </c>
      <c r="G151" t="str">
        <f t="shared" si="14"/>
        <v>990858322001671</v>
      </c>
      <c r="H151" t="s">
        <v>333</v>
      </c>
      <c r="I151" t="s">
        <v>398</v>
      </c>
      <c r="K151"/>
    </row>
    <row r="152" spans="1:11" x14ac:dyDescent="0.35">
      <c r="A152">
        <v>151</v>
      </c>
      <c r="B152" t="s">
        <v>225</v>
      </c>
      <c r="C152" s="3" t="s">
        <v>109</v>
      </c>
      <c r="D152">
        <v>10</v>
      </c>
      <c r="E152" t="s">
        <v>327</v>
      </c>
      <c r="F152" t="str">
        <f t="shared" si="13"/>
        <v>010</v>
      </c>
      <c r="G152" t="str">
        <f t="shared" si="14"/>
        <v>1790027791001010</v>
      </c>
      <c r="H152" t="s">
        <v>331</v>
      </c>
      <c r="I152" t="s">
        <v>398</v>
      </c>
      <c r="K152"/>
    </row>
    <row r="153" spans="1:11" x14ac:dyDescent="0.35">
      <c r="A153">
        <v>152</v>
      </c>
      <c r="B153" t="s">
        <v>226</v>
      </c>
      <c r="C153" s="3" t="s">
        <v>387</v>
      </c>
      <c r="D153">
        <v>6</v>
      </c>
      <c r="E153" t="s">
        <v>327</v>
      </c>
      <c r="F153" t="str">
        <f t="shared" si="13"/>
        <v>006</v>
      </c>
      <c r="G153" t="str">
        <f t="shared" si="14"/>
        <v>190471810001006</v>
      </c>
      <c r="H153" t="s">
        <v>331</v>
      </c>
      <c r="I153" t="s">
        <v>398</v>
      </c>
      <c r="K153"/>
    </row>
    <row r="154" spans="1:11" x14ac:dyDescent="0.35">
      <c r="A154">
        <v>153</v>
      </c>
      <c r="B154" t="s">
        <v>227</v>
      </c>
      <c r="C154" s="3" t="s">
        <v>228</v>
      </c>
      <c r="D154">
        <v>30</v>
      </c>
      <c r="E154" t="s">
        <v>327</v>
      </c>
      <c r="F154" t="str">
        <f t="shared" si="13"/>
        <v>030</v>
      </c>
      <c r="G154" t="str">
        <f t="shared" si="14"/>
        <v>1090033944001030</v>
      </c>
      <c r="H154" t="s">
        <v>331</v>
      </c>
      <c r="I154" t="s">
        <v>398</v>
      </c>
      <c r="K154"/>
    </row>
    <row r="155" spans="1:11" x14ac:dyDescent="0.35">
      <c r="A155">
        <v>154</v>
      </c>
      <c r="B155" t="s">
        <v>229</v>
      </c>
      <c r="C155" s="3" t="s">
        <v>230</v>
      </c>
      <c r="D155">
        <v>53</v>
      </c>
      <c r="E155" t="s">
        <v>327</v>
      </c>
      <c r="F155" t="str">
        <f t="shared" si="13"/>
        <v>053</v>
      </c>
      <c r="G155" t="str">
        <f t="shared" si="14"/>
        <v>1790646483001053</v>
      </c>
      <c r="H155" t="s">
        <v>343</v>
      </c>
      <c r="I155" t="s">
        <v>398</v>
      </c>
      <c r="J155" t="s">
        <v>401</v>
      </c>
      <c r="K155"/>
    </row>
    <row r="156" spans="1:11" x14ac:dyDescent="0.35">
      <c r="A156">
        <v>155</v>
      </c>
      <c r="B156" t="s">
        <v>231</v>
      </c>
      <c r="C156" s="3" t="s">
        <v>232</v>
      </c>
      <c r="D156">
        <v>1</v>
      </c>
      <c r="E156" t="s">
        <v>327</v>
      </c>
      <c r="F156" t="str">
        <f t="shared" si="13"/>
        <v>001</v>
      </c>
      <c r="G156" t="str">
        <f t="shared" si="14"/>
        <v>1793149316001001</v>
      </c>
      <c r="H156" t="s">
        <v>331</v>
      </c>
      <c r="I156" t="s">
        <v>398</v>
      </c>
      <c r="K156"/>
    </row>
    <row r="157" spans="1:11" x14ac:dyDescent="0.35">
      <c r="A157">
        <v>156</v>
      </c>
      <c r="B157" t="s">
        <v>233</v>
      </c>
      <c r="C157" s="3" t="s">
        <v>234</v>
      </c>
      <c r="D157">
        <v>81</v>
      </c>
      <c r="E157" t="s">
        <v>327</v>
      </c>
      <c r="F157" t="str">
        <f t="shared" si="13"/>
        <v>081</v>
      </c>
      <c r="G157" t="str">
        <f t="shared" si="14"/>
        <v>1790368718001081</v>
      </c>
      <c r="H157" t="s">
        <v>336</v>
      </c>
      <c r="I157" t="s">
        <v>398</v>
      </c>
      <c r="K157"/>
    </row>
    <row r="158" spans="1:11" x14ac:dyDescent="0.35">
      <c r="A158">
        <v>157</v>
      </c>
      <c r="B158" t="s">
        <v>235</v>
      </c>
      <c r="C158" s="3" t="s">
        <v>236</v>
      </c>
      <c r="D158">
        <v>4</v>
      </c>
      <c r="E158" t="s">
        <v>327</v>
      </c>
      <c r="F158" t="str">
        <f t="shared" si="13"/>
        <v>004</v>
      </c>
      <c r="G158" t="str">
        <f t="shared" si="14"/>
        <v>1792343178001004</v>
      </c>
      <c r="H158" t="s">
        <v>331</v>
      </c>
      <c r="I158" t="s">
        <v>398</v>
      </c>
      <c r="J158" t="s">
        <v>401</v>
      </c>
      <c r="K158"/>
    </row>
    <row r="159" spans="1:11" x14ac:dyDescent="0.35">
      <c r="A159">
        <v>158</v>
      </c>
      <c r="B159" t="s">
        <v>237</v>
      </c>
      <c r="C159" s="3" t="s">
        <v>103</v>
      </c>
      <c r="D159">
        <v>175</v>
      </c>
      <c r="E159" t="s">
        <v>327</v>
      </c>
      <c r="F159" t="str">
        <f t="shared" si="13"/>
        <v>175</v>
      </c>
      <c r="G159" t="str">
        <f t="shared" si="14"/>
        <v>1791413237001175</v>
      </c>
      <c r="H159" t="s">
        <v>331</v>
      </c>
      <c r="I159" t="s">
        <v>398</v>
      </c>
      <c r="K159"/>
    </row>
    <row r="160" spans="1:11" x14ac:dyDescent="0.35">
      <c r="A160">
        <v>159</v>
      </c>
      <c r="B160" t="s">
        <v>306</v>
      </c>
      <c r="C160" s="3" t="s">
        <v>307</v>
      </c>
      <c r="D160">
        <v>13</v>
      </c>
      <c r="E160" t="s">
        <v>327</v>
      </c>
      <c r="F160" t="str">
        <f t="shared" si="13"/>
        <v>013</v>
      </c>
      <c r="G160" t="str">
        <f t="shared" si="14"/>
        <v>1710138296001013</v>
      </c>
      <c r="H160" t="s">
        <v>331</v>
      </c>
      <c r="I160" t="s">
        <v>398</v>
      </c>
      <c r="K160"/>
    </row>
    <row r="161" spans="1:12" x14ac:dyDescent="0.35">
      <c r="A161">
        <v>160</v>
      </c>
      <c r="B161" t="s">
        <v>238</v>
      </c>
      <c r="C161" s="3" t="s">
        <v>388</v>
      </c>
      <c r="D161">
        <v>56</v>
      </c>
      <c r="E161" t="s">
        <v>327</v>
      </c>
      <c r="F161" t="str">
        <f t="shared" si="13"/>
        <v>056</v>
      </c>
      <c r="G161" t="str">
        <f t="shared" si="14"/>
        <v>990000530001056</v>
      </c>
      <c r="H161" t="s">
        <v>338</v>
      </c>
      <c r="I161" t="s">
        <v>398</v>
      </c>
      <c r="J161" t="s">
        <v>401</v>
      </c>
      <c r="K161"/>
    </row>
    <row r="162" spans="1:12" x14ac:dyDescent="0.35">
      <c r="A162">
        <v>161</v>
      </c>
      <c r="B162" t="s">
        <v>299</v>
      </c>
      <c r="C162" s="4" t="s">
        <v>322</v>
      </c>
      <c r="D162" s="6">
        <v>25</v>
      </c>
      <c r="E162" t="s">
        <v>327</v>
      </c>
      <c r="F162" t="str">
        <f t="shared" si="13"/>
        <v>025</v>
      </c>
      <c r="G162" t="str">
        <f t="shared" si="14"/>
        <v>1792056055001025</v>
      </c>
      <c r="H162" t="s">
        <v>331</v>
      </c>
      <c r="I162" t="s">
        <v>398</v>
      </c>
      <c r="K162"/>
    </row>
    <row r="163" spans="1:12" x14ac:dyDescent="0.35">
      <c r="A163">
        <v>162</v>
      </c>
      <c r="B163" t="s">
        <v>239</v>
      </c>
      <c r="C163" s="3" t="s">
        <v>240</v>
      </c>
      <c r="D163">
        <v>3</v>
      </c>
      <c r="E163" t="s">
        <v>327</v>
      </c>
      <c r="F163" t="str">
        <f t="shared" ref="F163:F199" si="15">TEXT(D163,"000")</f>
        <v>003</v>
      </c>
      <c r="G163" t="str">
        <f t="shared" si="14"/>
        <v>1793185193001003</v>
      </c>
      <c r="H163" t="s">
        <v>338</v>
      </c>
      <c r="I163" t="s">
        <v>398</v>
      </c>
      <c r="K163"/>
    </row>
    <row r="164" spans="1:12" x14ac:dyDescent="0.35">
      <c r="A164">
        <v>163</v>
      </c>
      <c r="B164" t="s">
        <v>241</v>
      </c>
      <c r="C164" s="3" t="s">
        <v>242</v>
      </c>
      <c r="D164">
        <v>1</v>
      </c>
      <c r="E164" t="s">
        <v>327</v>
      </c>
      <c r="F164" t="str">
        <f t="shared" si="15"/>
        <v>001</v>
      </c>
      <c r="G164" t="str">
        <f t="shared" si="14"/>
        <v>1712908530001001</v>
      </c>
      <c r="H164" t="s">
        <v>330</v>
      </c>
      <c r="I164" t="s">
        <v>398</v>
      </c>
      <c r="K164"/>
    </row>
    <row r="165" spans="1:12" x14ac:dyDescent="0.35">
      <c r="A165">
        <v>164</v>
      </c>
      <c r="B165" t="s">
        <v>243</v>
      </c>
      <c r="C165" s="3" t="s">
        <v>244</v>
      </c>
      <c r="D165">
        <v>26</v>
      </c>
      <c r="E165" t="s">
        <v>327</v>
      </c>
      <c r="F165" t="str">
        <f t="shared" si="15"/>
        <v>026</v>
      </c>
      <c r="G165" t="str">
        <f t="shared" si="14"/>
        <v>1792103568001026</v>
      </c>
      <c r="H165" t="s">
        <v>331</v>
      </c>
      <c r="I165" t="s">
        <v>398</v>
      </c>
      <c r="J165" t="s">
        <v>401</v>
      </c>
      <c r="K165"/>
    </row>
    <row r="166" spans="1:12" x14ac:dyDescent="0.35">
      <c r="A166">
        <v>165</v>
      </c>
      <c r="B166" t="s">
        <v>245</v>
      </c>
      <c r="C166" s="3" t="s">
        <v>385</v>
      </c>
      <c r="D166">
        <v>190</v>
      </c>
      <c r="E166" t="s">
        <v>315</v>
      </c>
      <c r="F166" t="str">
        <f t="shared" si="15"/>
        <v>190</v>
      </c>
      <c r="G166" t="str">
        <f t="shared" si="14"/>
        <v>990043027001190</v>
      </c>
      <c r="H166" t="s">
        <v>344</v>
      </c>
      <c r="I166" t="s">
        <v>398</v>
      </c>
      <c r="K166"/>
    </row>
    <row r="167" spans="1:12" x14ac:dyDescent="0.35">
      <c r="A167">
        <v>166</v>
      </c>
      <c r="B167" t="s">
        <v>302</v>
      </c>
      <c r="C167" s="3" t="s">
        <v>275</v>
      </c>
      <c r="D167" t="s">
        <v>316</v>
      </c>
      <c r="E167" t="s">
        <v>327</v>
      </c>
      <c r="F167" t="str">
        <f t="shared" si="15"/>
        <v>NO HAY ESPECIFICO PARA CONDADO</v>
      </c>
      <c r="H167" t="s">
        <v>345</v>
      </c>
      <c r="I167" t="s">
        <v>398</v>
      </c>
      <c r="K167"/>
    </row>
    <row r="168" spans="1:12" x14ac:dyDescent="0.35">
      <c r="A168">
        <v>167</v>
      </c>
      <c r="B168" t="s">
        <v>246</v>
      </c>
      <c r="C168" s="3" t="s">
        <v>247</v>
      </c>
      <c r="D168" t="s">
        <v>316</v>
      </c>
      <c r="E168" t="s">
        <v>327</v>
      </c>
      <c r="F168" t="str">
        <f t="shared" si="15"/>
        <v>NO HAY ESPECIFICO PARA CONDADO</v>
      </c>
      <c r="H168" t="s">
        <v>331</v>
      </c>
      <c r="I168" t="s">
        <v>398</v>
      </c>
      <c r="K168"/>
    </row>
    <row r="169" spans="1:12" x14ac:dyDescent="0.35">
      <c r="A169">
        <v>168</v>
      </c>
      <c r="B169" t="s">
        <v>248</v>
      </c>
      <c r="C169" s="3" t="s">
        <v>389</v>
      </c>
      <c r="D169">
        <v>3</v>
      </c>
      <c r="E169" t="s">
        <v>327</v>
      </c>
      <c r="F169" t="str">
        <f t="shared" si="15"/>
        <v>003</v>
      </c>
      <c r="G169" t="str">
        <f t="shared" ref="G169:G186" si="16">C169&amp;F169</f>
        <v>992307676001003</v>
      </c>
      <c r="H169" t="s">
        <v>331</v>
      </c>
      <c r="I169" t="s">
        <v>398</v>
      </c>
      <c r="J169" t="s">
        <v>401</v>
      </c>
      <c r="K169"/>
    </row>
    <row r="170" spans="1:12" x14ac:dyDescent="0.35">
      <c r="A170">
        <v>169</v>
      </c>
      <c r="B170" t="s">
        <v>249</v>
      </c>
      <c r="C170" s="3" t="s">
        <v>250</v>
      </c>
      <c r="D170">
        <v>2</v>
      </c>
      <c r="E170" t="s">
        <v>327</v>
      </c>
      <c r="F170" t="str">
        <f t="shared" si="15"/>
        <v>002</v>
      </c>
      <c r="G170" t="str">
        <f t="shared" si="16"/>
        <v>1792858771001002</v>
      </c>
      <c r="H170" t="s">
        <v>344</v>
      </c>
      <c r="I170" t="s">
        <v>398</v>
      </c>
      <c r="K170"/>
    </row>
    <row r="171" spans="1:12" x14ac:dyDescent="0.35">
      <c r="A171">
        <v>170</v>
      </c>
      <c r="B171" t="s">
        <v>310</v>
      </c>
      <c r="C171" s="3" t="s">
        <v>311</v>
      </c>
      <c r="D171">
        <v>3</v>
      </c>
      <c r="E171" t="s">
        <v>327</v>
      </c>
      <c r="F171" t="str">
        <f t="shared" si="15"/>
        <v>003</v>
      </c>
      <c r="G171" t="str">
        <f t="shared" si="16"/>
        <v>1793204721001003</v>
      </c>
      <c r="H171" t="s">
        <v>343</v>
      </c>
      <c r="I171" t="s">
        <v>398</v>
      </c>
      <c r="J171" t="s">
        <v>401</v>
      </c>
      <c r="K171"/>
    </row>
    <row r="172" spans="1:12" x14ac:dyDescent="0.35">
      <c r="A172">
        <v>171</v>
      </c>
      <c r="B172" t="s">
        <v>251</v>
      </c>
      <c r="C172" s="3" t="s">
        <v>252</v>
      </c>
      <c r="D172">
        <v>4</v>
      </c>
      <c r="E172" t="s">
        <v>327</v>
      </c>
      <c r="F172" t="str">
        <f t="shared" si="15"/>
        <v>004</v>
      </c>
      <c r="G172" t="str">
        <f t="shared" si="16"/>
        <v>1792342775001004</v>
      </c>
      <c r="H172" t="s">
        <v>331</v>
      </c>
      <c r="I172" t="s">
        <v>398</v>
      </c>
      <c r="J172" t="s">
        <v>401</v>
      </c>
      <c r="K172"/>
    </row>
    <row r="173" spans="1:12" x14ac:dyDescent="0.35">
      <c r="A173">
        <v>172</v>
      </c>
      <c r="B173" t="s">
        <v>253</v>
      </c>
      <c r="C173" s="3" t="s">
        <v>254</v>
      </c>
      <c r="D173">
        <v>7</v>
      </c>
      <c r="E173" t="s">
        <v>315</v>
      </c>
      <c r="F173" t="str">
        <f t="shared" si="15"/>
        <v>007</v>
      </c>
      <c r="G173" t="str">
        <f t="shared" si="16"/>
        <v>1792082935001007</v>
      </c>
      <c r="H173" t="s">
        <v>331</v>
      </c>
      <c r="I173" t="s">
        <v>398</v>
      </c>
      <c r="K173"/>
    </row>
    <row r="174" spans="1:12" x14ac:dyDescent="0.35">
      <c r="A174">
        <v>173</v>
      </c>
      <c r="B174" t="s">
        <v>255</v>
      </c>
      <c r="C174" s="3" t="s">
        <v>212</v>
      </c>
      <c r="D174">
        <v>77</v>
      </c>
      <c r="E174" t="s">
        <v>327</v>
      </c>
      <c r="F174" t="str">
        <f t="shared" si="15"/>
        <v>077</v>
      </c>
      <c r="G174" t="str">
        <f t="shared" si="16"/>
        <v>1790558886001077</v>
      </c>
      <c r="H174" t="s">
        <v>341</v>
      </c>
      <c r="I174" t="s">
        <v>398</v>
      </c>
      <c r="L174" s="9"/>
    </row>
    <row r="175" spans="1:12" x14ac:dyDescent="0.35">
      <c r="A175">
        <v>174</v>
      </c>
      <c r="B175" t="s">
        <v>256</v>
      </c>
      <c r="C175" s="3" t="s">
        <v>257</v>
      </c>
      <c r="D175">
        <v>29</v>
      </c>
      <c r="E175" t="s">
        <v>327</v>
      </c>
      <c r="F175" t="str">
        <f t="shared" si="15"/>
        <v>029</v>
      </c>
      <c r="G175" t="str">
        <f t="shared" si="16"/>
        <v>1790040275001029</v>
      </c>
      <c r="H175" t="s">
        <v>338</v>
      </c>
      <c r="I175" t="s">
        <v>398</v>
      </c>
      <c r="L175" s="9"/>
    </row>
    <row r="176" spans="1:12" x14ac:dyDescent="0.35">
      <c r="A176">
        <v>175</v>
      </c>
      <c r="B176" t="s">
        <v>258</v>
      </c>
      <c r="C176" s="3" t="s">
        <v>390</v>
      </c>
      <c r="D176">
        <v>46</v>
      </c>
      <c r="E176" t="s">
        <v>327</v>
      </c>
      <c r="F176" t="str">
        <f t="shared" si="15"/>
        <v>046</v>
      </c>
      <c r="G176" t="str">
        <f t="shared" si="16"/>
        <v>992106891001046</v>
      </c>
      <c r="H176" t="s">
        <v>343</v>
      </c>
      <c r="I176" t="s">
        <v>398</v>
      </c>
      <c r="J176" t="s">
        <v>401</v>
      </c>
      <c r="L176" s="9"/>
    </row>
    <row r="177" spans="1:12" x14ac:dyDescent="0.35">
      <c r="A177">
        <v>176</v>
      </c>
      <c r="B177" t="s">
        <v>117</v>
      </c>
      <c r="C177" s="3" t="s">
        <v>391</v>
      </c>
      <c r="D177">
        <v>10</v>
      </c>
      <c r="E177" t="s">
        <v>327</v>
      </c>
      <c r="F177" t="str">
        <f t="shared" si="15"/>
        <v>010</v>
      </c>
      <c r="G177" t="str">
        <f t="shared" si="16"/>
        <v>993205893001010</v>
      </c>
      <c r="H177" t="s">
        <v>333</v>
      </c>
      <c r="I177" t="s">
        <v>398</v>
      </c>
      <c r="L177" s="9"/>
    </row>
    <row r="178" spans="1:12" x14ac:dyDescent="0.35">
      <c r="A178">
        <v>177</v>
      </c>
      <c r="B178" t="s">
        <v>259</v>
      </c>
      <c r="C178" s="3" t="s">
        <v>260</v>
      </c>
      <c r="D178">
        <v>2</v>
      </c>
      <c r="E178" t="s">
        <v>327</v>
      </c>
      <c r="F178" t="str">
        <f t="shared" si="15"/>
        <v>002</v>
      </c>
      <c r="G178" t="str">
        <f t="shared" si="16"/>
        <v>1792573009001002</v>
      </c>
      <c r="H178" t="s">
        <v>343</v>
      </c>
      <c r="I178" t="s">
        <v>398</v>
      </c>
      <c r="L178" s="9"/>
    </row>
    <row r="179" spans="1:12" x14ac:dyDescent="0.35">
      <c r="A179">
        <v>178</v>
      </c>
      <c r="B179" t="s">
        <v>261</v>
      </c>
      <c r="C179" s="3" t="s">
        <v>103</v>
      </c>
      <c r="D179">
        <v>70</v>
      </c>
      <c r="E179" t="s">
        <v>327</v>
      </c>
      <c r="F179" t="str">
        <f t="shared" si="15"/>
        <v>070</v>
      </c>
      <c r="G179" t="str">
        <f t="shared" si="16"/>
        <v>1791413237001070</v>
      </c>
      <c r="H179" t="s">
        <v>331</v>
      </c>
      <c r="I179" t="s">
        <v>398</v>
      </c>
    </row>
    <row r="180" spans="1:12" x14ac:dyDescent="0.35">
      <c r="A180">
        <v>179</v>
      </c>
      <c r="B180" t="s">
        <v>262</v>
      </c>
      <c r="C180" s="3" t="s">
        <v>263</v>
      </c>
      <c r="D180">
        <v>3</v>
      </c>
      <c r="E180" t="s">
        <v>327</v>
      </c>
      <c r="F180" t="str">
        <f t="shared" si="15"/>
        <v>003</v>
      </c>
      <c r="G180" t="str">
        <f t="shared" si="16"/>
        <v>1792236894001003</v>
      </c>
      <c r="H180" t="s">
        <v>331</v>
      </c>
      <c r="I180" t="s">
        <v>398</v>
      </c>
      <c r="L180" s="9"/>
    </row>
    <row r="181" spans="1:12" x14ac:dyDescent="0.35">
      <c r="A181">
        <v>180</v>
      </c>
      <c r="B181" t="s">
        <v>264</v>
      </c>
      <c r="C181" s="3" t="s">
        <v>103</v>
      </c>
      <c r="D181">
        <v>168</v>
      </c>
      <c r="E181" t="s">
        <v>327</v>
      </c>
      <c r="F181" t="str">
        <f t="shared" si="15"/>
        <v>168</v>
      </c>
      <c r="G181" t="str">
        <f t="shared" si="16"/>
        <v>1791413237001168</v>
      </c>
      <c r="H181" t="s">
        <v>331</v>
      </c>
      <c r="I181" t="s">
        <v>398</v>
      </c>
      <c r="L181" s="9"/>
    </row>
    <row r="182" spans="1:12" x14ac:dyDescent="0.35">
      <c r="A182">
        <v>181</v>
      </c>
      <c r="B182" t="s">
        <v>265</v>
      </c>
      <c r="C182" s="3" t="s">
        <v>266</v>
      </c>
      <c r="D182">
        <v>10</v>
      </c>
      <c r="E182" t="s">
        <v>327</v>
      </c>
      <c r="F182" t="str">
        <f t="shared" si="15"/>
        <v>010</v>
      </c>
      <c r="G182" t="str">
        <f t="shared" si="16"/>
        <v>1791963695001010</v>
      </c>
      <c r="H182" t="s">
        <v>331</v>
      </c>
      <c r="I182" t="s">
        <v>398</v>
      </c>
      <c r="L182" s="9"/>
    </row>
    <row r="183" spans="1:12" x14ac:dyDescent="0.35">
      <c r="A183">
        <v>182</v>
      </c>
      <c r="B183" t="s">
        <v>267</v>
      </c>
      <c r="C183" s="3" t="s">
        <v>45</v>
      </c>
      <c r="D183">
        <v>15</v>
      </c>
      <c r="E183" t="s">
        <v>327</v>
      </c>
      <c r="F183" t="str">
        <f t="shared" si="15"/>
        <v>015</v>
      </c>
      <c r="G183" t="str">
        <f t="shared" si="16"/>
        <v>1791997891001015</v>
      </c>
      <c r="H183" t="s">
        <v>343</v>
      </c>
      <c r="I183" t="s">
        <v>398</v>
      </c>
      <c r="L183" s="9"/>
    </row>
    <row r="184" spans="1:12" x14ac:dyDescent="0.35">
      <c r="A184">
        <v>183</v>
      </c>
      <c r="B184" t="s">
        <v>268</v>
      </c>
      <c r="C184" s="3" t="s">
        <v>269</v>
      </c>
      <c r="D184">
        <v>22</v>
      </c>
      <c r="E184" t="s">
        <v>327</v>
      </c>
      <c r="F184" t="str">
        <f t="shared" si="15"/>
        <v>022</v>
      </c>
      <c r="G184" t="str">
        <f t="shared" si="16"/>
        <v>1790746119001022</v>
      </c>
      <c r="H184" t="s">
        <v>338</v>
      </c>
      <c r="I184" t="s">
        <v>399</v>
      </c>
      <c r="J184" t="s">
        <v>401</v>
      </c>
      <c r="L184" s="9"/>
    </row>
    <row r="185" spans="1:12" x14ac:dyDescent="0.35">
      <c r="A185">
        <v>184</v>
      </c>
      <c r="B185" t="s">
        <v>270</v>
      </c>
      <c r="C185" s="3" t="s">
        <v>271</v>
      </c>
      <c r="D185">
        <v>7</v>
      </c>
      <c r="E185" t="s">
        <v>327</v>
      </c>
      <c r="F185" t="str">
        <f t="shared" si="15"/>
        <v>007</v>
      </c>
      <c r="G185" t="str">
        <f t="shared" si="16"/>
        <v>1792022762001007</v>
      </c>
      <c r="H185" t="s">
        <v>331</v>
      </c>
      <c r="I185" t="s">
        <v>398</v>
      </c>
      <c r="L185" s="9"/>
    </row>
    <row r="186" spans="1:12" x14ac:dyDescent="0.35">
      <c r="A186">
        <v>185</v>
      </c>
      <c r="B186" t="s">
        <v>272</v>
      </c>
      <c r="C186" s="3" t="s">
        <v>19</v>
      </c>
      <c r="D186">
        <v>37</v>
      </c>
      <c r="E186" t="s">
        <v>327</v>
      </c>
      <c r="F186" t="str">
        <f t="shared" si="15"/>
        <v>037</v>
      </c>
      <c r="G186" t="str">
        <f t="shared" si="16"/>
        <v>1792072018001037</v>
      </c>
      <c r="H186" t="s">
        <v>343</v>
      </c>
      <c r="I186" t="s">
        <v>398</v>
      </c>
      <c r="L186" s="9"/>
    </row>
    <row r="187" spans="1:12" x14ac:dyDescent="0.35">
      <c r="A187">
        <v>186</v>
      </c>
      <c r="B187" t="s">
        <v>273</v>
      </c>
      <c r="C187" s="3" t="s">
        <v>188</v>
      </c>
      <c r="D187" t="s">
        <v>319</v>
      </c>
      <c r="E187" t="s">
        <v>315</v>
      </c>
      <c r="F187" t="str">
        <f t="shared" si="15"/>
        <v>117/166/197</v>
      </c>
      <c r="H187" t="s">
        <v>345</v>
      </c>
      <c r="I187" t="s">
        <v>398</v>
      </c>
      <c r="L187" s="9"/>
    </row>
    <row r="188" spans="1:12" x14ac:dyDescent="0.35">
      <c r="A188">
        <v>187</v>
      </c>
      <c r="B188" t="s">
        <v>274</v>
      </c>
      <c r="C188" s="3" t="s">
        <v>275</v>
      </c>
      <c r="D188" t="s">
        <v>316</v>
      </c>
      <c r="E188" t="s">
        <v>327</v>
      </c>
      <c r="F188" t="str">
        <f t="shared" si="15"/>
        <v>NO HAY ESPECIFICO PARA CONDADO</v>
      </c>
      <c r="H188" t="s">
        <v>332</v>
      </c>
      <c r="I188" t="s">
        <v>398</v>
      </c>
      <c r="L188" s="9"/>
    </row>
    <row r="189" spans="1:12" x14ac:dyDescent="0.35">
      <c r="A189">
        <v>188</v>
      </c>
      <c r="B189" t="s">
        <v>276</v>
      </c>
      <c r="C189" s="3" t="s">
        <v>277</v>
      </c>
      <c r="D189">
        <v>79</v>
      </c>
      <c r="E189" t="s">
        <v>327</v>
      </c>
      <c r="F189" t="str">
        <f t="shared" si="15"/>
        <v>079</v>
      </c>
      <c r="G189" t="str">
        <f t="shared" ref="G189:G199" si="17">C189&amp;F189</f>
        <v>1790896544001079</v>
      </c>
      <c r="H189" t="s">
        <v>338</v>
      </c>
      <c r="I189" t="s">
        <v>398</v>
      </c>
      <c r="J189" t="s">
        <v>401</v>
      </c>
      <c r="L189" s="9"/>
    </row>
    <row r="190" spans="1:12" x14ac:dyDescent="0.35">
      <c r="A190">
        <v>189</v>
      </c>
      <c r="B190" t="s">
        <v>278</v>
      </c>
      <c r="C190" s="3" t="s">
        <v>279</v>
      </c>
      <c r="D190">
        <v>5</v>
      </c>
      <c r="E190" t="s">
        <v>327</v>
      </c>
      <c r="F190" t="str">
        <f t="shared" si="15"/>
        <v>005</v>
      </c>
      <c r="G190" t="str">
        <f t="shared" si="17"/>
        <v>1792253594001005</v>
      </c>
      <c r="H190" t="s">
        <v>331</v>
      </c>
      <c r="I190" t="s">
        <v>398</v>
      </c>
      <c r="L190" s="9"/>
    </row>
    <row r="191" spans="1:12" x14ac:dyDescent="0.35">
      <c r="A191">
        <v>190</v>
      </c>
      <c r="B191" t="s">
        <v>280</v>
      </c>
      <c r="C191" s="3" t="s">
        <v>281</v>
      </c>
      <c r="D191">
        <v>3</v>
      </c>
      <c r="E191" t="s">
        <v>327</v>
      </c>
      <c r="F191" t="str">
        <f t="shared" si="15"/>
        <v>003</v>
      </c>
      <c r="G191" t="str">
        <f t="shared" si="17"/>
        <v>1792337313001003</v>
      </c>
      <c r="H191" t="s">
        <v>343</v>
      </c>
      <c r="I191" t="s">
        <v>398</v>
      </c>
      <c r="J191" t="s">
        <v>401</v>
      </c>
      <c r="L191" s="9"/>
    </row>
    <row r="192" spans="1:12" x14ac:dyDescent="0.35">
      <c r="A192">
        <v>191</v>
      </c>
      <c r="B192" t="s">
        <v>282</v>
      </c>
      <c r="C192" s="3" t="s">
        <v>283</v>
      </c>
      <c r="D192">
        <v>6</v>
      </c>
      <c r="E192" t="s">
        <v>327</v>
      </c>
      <c r="F192" t="str">
        <f t="shared" si="15"/>
        <v>006</v>
      </c>
      <c r="G192" t="str">
        <f t="shared" si="17"/>
        <v>1792869358001006</v>
      </c>
      <c r="H192" t="s">
        <v>331</v>
      </c>
      <c r="I192" t="s">
        <v>398</v>
      </c>
      <c r="L192" s="9"/>
    </row>
    <row r="193" spans="1:12" x14ac:dyDescent="0.35">
      <c r="A193">
        <v>192</v>
      </c>
      <c r="B193" t="s">
        <v>285</v>
      </c>
      <c r="C193" s="3" t="s">
        <v>286</v>
      </c>
      <c r="D193">
        <v>7</v>
      </c>
      <c r="E193" t="s">
        <v>315</v>
      </c>
      <c r="F193" t="str">
        <f t="shared" si="15"/>
        <v>007</v>
      </c>
      <c r="G193" t="str">
        <f t="shared" si="17"/>
        <v>1714148929001007</v>
      </c>
      <c r="H193" t="s">
        <v>342</v>
      </c>
      <c r="I193" t="s">
        <v>398</v>
      </c>
      <c r="L193" s="9"/>
    </row>
    <row r="194" spans="1:12" x14ac:dyDescent="0.35">
      <c r="A194">
        <v>193</v>
      </c>
      <c r="B194" t="s">
        <v>284</v>
      </c>
      <c r="C194" s="3" t="s">
        <v>392</v>
      </c>
      <c r="D194">
        <v>22</v>
      </c>
      <c r="E194" t="s">
        <v>327</v>
      </c>
      <c r="F194" t="str">
        <f t="shared" si="15"/>
        <v>022</v>
      </c>
      <c r="G194" t="str">
        <f t="shared" si="17"/>
        <v>992155272001022</v>
      </c>
      <c r="H194" t="s">
        <v>342</v>
      </c>
      <c r="I194" t="s">
        <v>398</v>
      </c>
      <c r="L194" s="9"/>
    </row>
    <row r="195" spans="1:12" x14ac:dyDescent="0.35">
      <c r="A195">
        <v>194</v>
      </c>
      <c r="B195" t="s">
        <v>287</v>
      </c>
      <c r="C195" s="3" t="s">
        <v>393</v>
      </c>
      <c r="D195">
        <v>338</v>
      </c>
      <c r="E195" t="s">
        <v>327</v>
      </c>
      <c r="F195" t="str">
        <f t="shared" si="15"/>
        <v>338</v>
      </c>
      <c r="G195" t="str">
        <f t="shared" si="17"/>
        <v>991286403001338</v>
      </c>
      <c r="H195" t="s">
        <v>332</v>
      </c>
      <c r="I195" t="s">
        <v>398</v>
      </c>
      <c r="L195" s="9"/>
    </row>
    <row r="196" spans="1:12" x14ac:dyDescent="0.35">
      <c r="A196">
        <v>195</v>
      </c>
      <c r="B196" t="s">
        <v>288</v>
      </c>
      <c r="C196" s="3" t="s">
        <v>289</v>
      </c>
      <c r="D196">
        <v>13</v>
      </c>
      <c r="E196" t="s">
        <v>327</v>
      </c>
      <c r="F196" t="str">
        <f t="shared" si="15"/>
        <v>013</v>
      </c>
      <c r="G196" t="str">
        <f t="shared" si="17"/>
        <v>1792407893001013</v>
      </c>
      <c r="H196" t="s">
        <v>333</v>
      </c>
      <c r="I196" t="s">
        <v>398</v>
      </c>
      <c r="L196" s="9"/>
    </row>
    <row r="197" spans="1:12" x14ac:dyDescent="0.35">
      <c r="A197">
        <v>196</v>
      </c>
      <c r="B197" t="s">
        <v>290</v>
      </c>
      <c r="C197" s="3" t="s">
        <v>394</v>
      </c>
      <c r="D197">
        <v>89</v>
      </c>
      <c r="E197" t="s">
        <v>327</v>
      </c>
      <c r="F197" t="str">
        <f t="shared" si="15"/>
        <v>089</v>
      </c>
      <c r="G197" t="str">
        <f t="shared" si="17"/>
        <v>190007510001089</v>
      </c>
      <c r="H197" t="s">
        <v>334</v>
      </c>
      <c r="I197" t="s">
        <v>398</v>
      </c>
      <c r="L197" s="9"/>
    </row>
    <row r="198" spans="1:12" x14ac:dyDescent="0.35">
      <c r="A198">
        <v>197</v>
      </c>
      <c r="B198" t="s">
        <v>291</v>
      </c>
      <c r="C198" s="4" t="s">
        <v>321</v>
      </c>
      <c r="D198" s="5">
        <v>4</v>
      </c>
      <c r="E198" t="s">
        <v>327</v>
      </c>
      <c r="F198" t="str">
        <f t="shared" si="15"/>
        <v>004</v>
      </c>
      <c r="G198" t="str">
        <f t="shared" si="17"/>
        <v>1705868105001004</v>
      </c>
      <c r="H198" t="s">
        <v>343</v>
      </c>
      <c r="I198" t="s">
        <v>398</v>
      </c>
      <c r="L198" s="9"/>
    </row>
    <row r="199" spans="1:12" x14ac:dyDescent="0.35">
      <c r="A199">
        <v>198</v>
      </c>
      <c r="B199" t="s">
        <v>292</v>
      </c>
      <c r="C199" s="3" t="s">
        <v>293</v>
      </c>
      <c r="D199">
        <v>2</v>
      </c>
      <c r="E199" t="s">
        <v>315</v>
      </c>
      <c r="F199" t="str">
        <f t="shared" si="15"/>
        <v>002</v>
      </c>
      <c r="G199" t="str">
        <f t="shared" si="17"/>
        <v>1793102174001002</v>
      </c>
      <c r="H199" t="s">
        <v>331</v>
      </c>
      <c r="I199" t="s">
        <v>398</v>
      </c>
      <c r="L199" s="9"/>
    </row>
    <row r="200" spans="1:12" x14ac:dyDescent="0.35">
      <c r="L200" s="9"/>
    </row>
    <row r="201" spans="1:12" x14ac:dyDescent="0.35">
      <c r="L201" s="9"/>
    </row>
    <row r="202" spans="1:12" x14ac:dyDescent="0.35">
      <c r="L202" s="9"/>
    </row>
    <row r="203" spans="1:12" x14ac:dyDescent="0.35">
      <c r="L203" s="9"/>
    </row>
  </sheetData>
  <conditionalFormatting sqref="G1:G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Radar Segundo</dc:creator>
  <cp:lastModifiedBy>Ruben Freire</cp:lastModifiedBy>
  <dcterms:created xsi:type="dcterms:W3CDTF">2024-07-17T15:04:52Z</dcterms:created>
  <dcterms:modified xsi:type="dcterms:W3CDTF">2026-02-03T23:00:14Z</dcterms:modified>
</cp:coreProperties>
</file>